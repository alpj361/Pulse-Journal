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df2af0349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ímites" sheetId="1" r:id="R3eee3375db3b407a"/>
    <x:sheet xmlns:r="http://schemas.openxmlformats.org/officeDocument/2006/relationships" name="Contrato" sheetId="2" r:id="R4cfb989f65af49d9"/>
    <x:sheet xmlns:r="http://schemas.openxmlformats.org/officeDocument/2006/relationships" name="Seguridad" sheetId="3" r:id="R13cb685faf474797"/>
    <x:sheet xmlns:r="http://schemas.openxmlformats.org/officeDocument/2006/relationships" name="Implementación" sheetId="4" r:id="R86d1824fb8ba47b7"/>
    <x:sheet xmlns:r="http://schemas.openxmlformats.org/officeDocument/2006/relationships" name="Referencias" sheetId="5" r:id="Rd822a01de5df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##"/>
  </x:numFmts>
  <x:fonts count="7">
    <x:font>
      <x:sz val="11"/>
      <x:name val="Carlito"/>
    </x:font>
    <x:font>
      <x:b/>
      <x:sz val="16"/>
      <x:color rgb="FF23211D"/>
      <x:name val="Arial"/>
    </x:font>
    <x:font>
      <x:i/>
      <x:sz val="10"/>
      <x:color rgb="FF6F746F"/>
      <x:name val="Arial"/>
    </x:font>
    <x:font>
      <x:b/>
      <x:sz val="10"/>
      <x:color rgb="FF1F5B45"/>
      <x:name val="Arial"/>
    </x:font>
    <x:font>
      <x:b/>
      <x:sz val="14"/>
      <x:color rgb="FF23211D"/>
      <x:name val="Arial"/>
    </x:font>
    <x:font>
      <x:b/>
      <x:sz val="10"/>
      <x:color rgb="FFFFFFF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F0EA"/>
      </x:patternFill>
    </x:fill>
    <x:fill>
      <x:patternFill patternType="solid">
        <x:fgColor rgb="FF1F5B45"/>
      </x:patternFill>
    </x:fill>
    <x:fill>
      <x:patternFill patternType="solid">
        <x:fgColor rgb="FFFFF2CC"/>
      </x:patternFill>
    </x:fill>
  </x:fills>
  <x:borders count="10">
    <x:border/>
    <x:border>
      <x:bottom style="thin">
        <x:color rgb="FFD9DDD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D9DDD7"/>
      </x:top>
      <x:bottom style="thin">
        <x:color rgb="FFD9DDD7"/>
      </x:bottom>
    </x:border>
    <x:border>
      <x:top style="thin">
        <x:color rgb="FFD9DDD7"/>
      </x:top>
    </x:border>
    <x:border>
      <x:right style="thin">
        <x:color rgb="FFFFFFFF"/>
      </x:right>
      <x:top style="thin">
        <x:color rgb="FFD9DDD7"/>
      </x:top>
      <x:bottom style="thin">
        <x:color rgb="FFD9DDD7"/>
      </x:bottom>
    </x:border>
    <x:border>
      <x:left style="thin">
        <x:color rgb="FFFFFFFF"/>
      </x:left>
      <x:right style="thin">
        <x:color rgb="FFFFFFFF"/>
      </x:right>
      <x:top style="thin">
        <x:color rgb="FFD9DDD7"/>
      </x:top>
      <x:bottom style="thin">
        <x:color rgb="FFD9DDD7"/>
      </x:bottom>
    </x:border>
    <x:border>
      <x:left style="thin">
        <x:color rgb="FFFFFFFF"/>
      </x:left>
      <x:top style="thin">
        <x:color rgb="FFD9DDD7"/>
      </x:top>
      <x:bottom style="thin">
        <x:color rgb="FFD9DDD7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201" fontId="0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/>
    </x:xf>
    <x:xf numFmtId="201" fontId="0" fillId="4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/>
    </x:xf>
    <x:xf numFmtId="0" fontId="0" fillId="4" borderId="5" xfId="0" applyNumberFormat="1" applyFont="1" applyFill="1" applyBorder="1" applyAlignment="1">
      <x:alignment vertical="top"/>
    </x:xf>
    <x:xf numFmtId="201" fontId="0" fillId="4" borderId="5" xfId="0" applyNumberFormat="1" applyFont="1" applyFill="1" applyBorder="1" applyAlignment="1">
      <x:alignment vertical="top"/>
    </x:xf>
    <x:xf numFmtId="0" fontId="0" fillId="4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/>
    </x:xf>
    <x:xf numFmtId="0" fontId="0" fillId="4" borderId="6" xfId="0" applyNumberFormat="1" applyFont="1" applyFill="1" applyBorder="1" applyAlignment="1">
      <x:alignment vertical="top"/>
    </x:xf>
    <x:xf numFmtId="201" fontId="0" fillId="4" borderId="6" xfId="0" applyNumberFormat="1" applyFont="1" applyFill="1" applyBorder="1" applyAlignment="1">
      <x:alignment vertical="top"/>
    </x:xf>
    <x:xf numFmtId="0" fontId="0" fillId="4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/>
    </x:xf>
    <x:xf numFmtId="201" fontId="6" fillId="4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/>
    </x:xf>
    <x:xf numFmtId="0" fontId="6" fillId="4" borderId="5" xfId="0" applyNumberFormat="1" applyFont="1" applyFill="1" applyBorder="1" applyAlignment="1">
      <x:alignment vertical="top"/>
    </x:xf>
    <x:xf numFmtId="201" fontId="6" fillId="4" borderId="5" xfId="0" applyNumberFormat="1" applyFont="1" applyFill="1" applyBorder="1" applyAlignment="1">
      <x:alignment vertical="top"/>
    </x:xf>
    <x:xf numFmtId="0" fontId="6" fillId="4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/>
    </x:xf>
    <x:xf numFmtId="0" fontId="6" fillId="4" borderId="6" xfId="0" applyNumberFormat="1" applyFont="1" applyFill="1" applyBorder="1" applyAlignment="1">
      <x:alignment vertical="top"/>
    </x:xf>
    <x:xf numFmtId="201" fontId="6" fillId="4" borderId="6" xfId="0" applyNumberFormat="1" applyFont="1" applyFill="1" applyBorder="1" applyAlignment="1">
      <x:alignment vertical="top"/>
    </x:xf>
    <x:xf numFmtId="0" fontId="6" fillId="4" borderId="6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5" fillId="3" borderId="7" xfId="0" applyNumberFormat="1" applyFont="1" applyFill="1" applyBorder="1" applyAlignment="1">
      <x:alignment horizontal="center" vertical="top" wrapText="1"/>
    </x:xf>
    <x:xf numFmtId="0" fontId="5" fillId="3" borderId="8" xfId="0" applyNumberFormat="1" applyFont="1" applyFill="1" applyBorder="1" applyAlignment="1">
      <x:alignment horizontal="center" vertical="top" wrapText="1"/>
    </x:xf>
    <x:xf numFmtId="0" fontId="5" fillId="3" borderId="9" xfId="0" applyNumberFormat="1" applyFont="1" applyFill="1" applyBorder="1" applyAlignment="1">
      <x:alignment horizontal="center"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F5B45"/>
      </x:font>
      <x:fill>
        <x:patternFill patternType="solid">
          <x:bgColor rgb="FFE5F0EA"/>
        </x:patternFill>
      </x:fill>
    </x:dxf>
    <x:dxf>
      <x:font>
        <x:b/>
        <x:color rgb="FF7A5513"/>
      </x:font>
      <x:fill>
        <x:patternFill patternType="solid">
          <x:bgColor rgb="FFFFF2CC"/>
        </x:patternFill>
      </x:fill>
    </x:dxf>
    <x:dxf>
      <x:font>
        <x:b/>
        <x:color rgb="FFA63D40"/>
      </x:font>
      <x:fill>
        <x:patternFill patternType="solid">
          <x:bgColor rgb="FFFCE8E6"/>
        </x:patternFill>
      </x:fill>
    </x:dxf>
    <x:dxf>
      <x:font>
        <x:b/>
        <x:color rgb="FFA63D4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00072f4db4822" /><Relationship Type="http://schemas.openxmlformats.org/officeDocument/2006/relationships/theme" Target="/xl/theme/theme1.xml" Id="Rba68e3e8d65c4901" /><Relationship Type="http://schemas.openxmlformats.org/officeDocument/2006/relationships/sharedStrings" Target="/xl/sharedStrings.xml" Id="R45846a3747f348f3" /><Relationship Type="http://schemas.openxmlformats.org/officeDocument/2006/relationships/worksheet" Target="/xl/worksheets/sheet1.xml" Id="R3eee3375db3b407a" /><Relationship Type="http://schemas.openxmlformats.org/officeDocument/2006/relationships/worksheet" Target="/xl/worksheets/sheet2.xml" Id="R4cfb989f65af49d9" /><Relationship Type="http://schemas.openxmlformats.org/officeDocument/2006/relationships/worksheet" Target="/xl/worksheets/sheet3.xml" Id="R13cb685faf474797" /><Relationship Type="http://schemas.openxmlformats.org/officeDocument/2006/relationships/worksheet" Target="/xl/worksheets/sheet4.xml" Id="R86d1824fb8ba47b7" /><Relationship Type="http://schemas.openxmlformats.org/officeDocument/2006/relationships/worksheet" Target="/xl/worksheets/sheet5.xml" Id="Rd822a01de5df4cd0" /><Relationship Type="http://schemas.microsoft.com/office/2017/10/relationships/person" Target="/xl/persons/person.xml" Id="R30a3801ae08a47cc" /></Relationships>
</file>

<file path=xl/persons/person.xml><?xml version="1.0" encoding="utf-8"?>
<xltc:personList xmlns:xltc="http://schemas.microsoft.com/office/spreadsheetml/2018/threadedcomments">
  <xltc:person displayName="Pablo" id="{BBBD8DBE-541E-490A-AE7C-AE5B020D862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5B45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5" hidden="0" customWidth="1"/>
    <x:col min="4" max="4" width="28" hidden="0" customWidth="1"/>
    <x:col min="5" max="5" width="20" hidden="0" customWidth="1"/>
    <x:col min="6" max="6" width="13" hidden="0" customWidth="1"/>
    <x:col min="7" max="7" width="18" hidden="0" customWidth="1"/>
    <x:col min="8" max="8" width="15" hidden="0" customWidth="1"/>
    <x:col min="9" max="9" width="16" hidden="0" customWidth="1"/>
    <x:col min="10" max="10" width="15" hidden="0" customWidth="1"/>
    <x:col min="11" max="11" width="17" hidden="0" customWidth="1"/>
    <x:col min="12" max="12" width="46" hidden="0" customWidth="1"/>
    <x:col min="13" max="13" width="17" hidden="0" customWidth="1"/>
  </x:cols>
  <x:sheetData>
    <x:row r="2" ht="19.200000762939453" hidden="0" customHeight="1">
      <x:c r="A2" s="72" t="str">
        <x:v>Pulzos: límites, seguridad y uso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</x:row>
    <x:row r="3" ht="15" hidden="0" customHeight="1">
      <x:c r="A3" s="74" t="str">
        <x:v>Edita las columnas Decisión, Límite ajustado y Notas. Devuelve este archivo para convertir tus decisiones en el contrato técnico.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 ht="15" hidden="0" customHeight="1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</x:row>
    <x:row r="5" ht="15" hidden="0" customHeight="1">
      <x:c r="A5" s="73"/>
      <x:c r="B5" s="73"/>
      <x:c r="C5" s="73"/>
      <x:c r="D5" s="73"/>
      <x:c r="E5" s="73"/>
      <x:c r="F5" s="73"/>
      <x:c r="G5" s="73"/>
      <x:c r="H5" s="73"/>
      <x:c r="I5" s="73"/>
      <x:c r="J5" s="73"/>
      <x:c r="K5" s="73"/>
      <x:c r="L5" s="73"/>
      <x:c r="M5" s="73"/>
    </x:row>
    <x:row r="6" ht="15" hidden="0" customHeight="1">
      <x:c r="A6" s="75" t="str">
        <x:v>Métricas</x:v>
      </x:c>
      <x:c r="B6" s="75" t="str">
        <x:v>Pendientes</x:v>
      </x:c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</x:row>
    <x:row r="7" ht="16.799999237060547" hidden="0" customHeight="1">
      <x:c r="A7" s="76" t="n">
        <x:f>COUNTA(A11:A60)</x:f>
        <x:v>35</x:v>
      </x:c>
      <x:c r="B7" s="76" t="n">
        <x:f>COUNTIF(J11:J60,"Pendiente")</x:f>
        <x:v>35</x:v>
      </x:c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</x:row>
    <x:row r="8" ht="15" hidden="0" customHeight="1">
      <x:c r="A8" s="73"/>
      <x:c r="B8" s="73"/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</x:row>
    <x:row r="9" ht="15" hidden="0" customHeight="1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</x:row>
    <x:row r="10" ht="15" hidden="0" customHeight="1">
      <x:c r="A10" s="77" t="str">
        <x:v>ID</x:v>
      </x:c>
      <x:c r="B10" s="78" t="str">
        <x:v>Área</x:v>
      </x:c>
      <x:c r="C10" s="78" t="str">
        <x:v>Nombre para el usuario</x:v>
      </x:c>
      <x:c r="D10" s="78" t="str">
        <x:v>Clave técnica</x:v>
      </x:c>
      <x:c r="E10" s="78" t="str">
        <x:v>Tipo de límite</x:v>
      </x:c>
      <x:c r="F10" s="78" t="str">
        <x:v>Propuesta</x:v>
      </x:c>
      <x:c r="G10" s="78" t="str">
        <x:v>Unidad</x:v>
      </x:c>
      <x:c r="H10" s="78" t="str">
        <x:v>Periodo</x:v>
      </x:c>
      <x:c r="I10" s="78" t="str">
        <x:v>¿Aplica al admin?</x:v>
      </x:c>
      <x:c r="J10" s="78" t="str">
        <x:v>Decisión</x:v>
      </x:c>
      <x:c r="K10" s="78" t="str">
        <x:v>Límite ajustado</x:v>
      </x:c>
      <x:c r="L10" s="78" t="str">
        <x:v>Notas y correcciones</x:v>
      </x:c>
      <x:c r="M10" s="79" t="str">
        <x:v>Resultado final</x:v>
      </x:c>
    </x:row>
    <x:row r="11" ht="15" hidden="0" customHeight="1">
      <x:c r="A11" s="54" t="str">
        <x:v>LIM-001</x:v>
      </x:c>
      <x:c r="B11" s="54" t="str">
        <x:v>Organización</x:v>
      </x:c>
      <x:c r="C11" s="55" t="str">
        <x:v>Proyectos</x:v>
      </x:c>
      <x:c r="D11" s="54" t="str">
        <x:v>projects.total</x:v>
      </x:c>
      <x:c r="E11" s="54" t="str">
        <x:v>Cuota visible</x:v>
      </x:c>
      <x:c r="F11" s="56" t="n">
        <x:v>1</x:v>
      </x:c>
      <x:c r="G11" s="54" t="str">
        <x:v>proyecto</x:v>
      </x:c>
      <x:c r="H11" s="54" t="str">
        <x:v>Total</x:v>
      </x:c>
      <x:c r="I11" s="54" t="str">
        <x:v>No</x:v>
      </x:c>
      <x:c r="J11" s="57" t="str">
        <x:v>Pendiente</x:v>
      </x:c>
      <x:c r="K11" s="58"/>
      <x:c r="L11" s="59" t="str">
        <x:v>Un Proyecto puede contener varios Espacios.</x:v>
      </x:c>
      <x:c r="M11" s="56" t="str">
        <x:f>IF(J11="Aprobar",F11,IF(J11="Cambiar",K11,IF(J11="Eliminar","","Pendiente")))</x:f>
        <x:v>Pendiente</x:v>
      </x:c>
    </x:row>
    <x:row r="12" ht="26.399999618530273" hidden="0" customHeight="1">
      <x:c r="A12" s="60" t="str">
        <x:v>LIM-002</x:v>
      </x:c>
      <x:c r="B12" s="60" t="str">
        <x:v>Organización</x:v>
      </x:c>
      <x:c r="C12" s="61" t="str">
        <x:v>Espacios</x:v>
      </x:c>
      <x:c r="D12" s="60" t="str">
        <x:v>spaces.total</x:v>
      </x:c>
      <x:c r="E12" s="60" t="str">
        <x:v>Cuota visible</x:v>
      </x:c>
      <x:c r="F12" s="62" t="n">
        <x:v>5</x:v>
      </x:c>
      <x:c r="G12" s="60" t="str">
        <x:v>espacios</x:v>
      </x:c>
      <x:c r="H12" s="60" t="str">
        <x:v>Total</x:v>
      </x:c>
      <x:c r="I12" s="60" t="str">
        <x:v>No</x:v>
      </x:c>
      <x:c r="J12" s="63" t="str">
        <x:v>Pendiente</x:v>
      </x:c>
      <x:c r="K12" s="64"/>
      <x:c r="L12" s="65" t="str">
        <x:v>Los elementos sueltos del Codex no usan Memoria hasta asociarse a un Espacio.</x:v>
      </x:c>
      <x:c r="M12" s="62" t="str">
        <x:f>IF(J12="Aprobar",F12,IF(J12="Cambiar",K12,IF(J12="Eliminar","","Pendiente")))</x:f>
        <x:v>Pendiente</x:v>
      </x:c>
    </x:row>
    <x:row r="13" ht="26.399999618530273" hidden="0" customHeight="1">
      <x:c r="A13" s="60" t="str">
        <x:v>LIM-003</x:v>
      </x:c>
      <x:c r="B13" s="60" t="str">
        <x:v>Codex</x:v>
      </x:c>
      <x:c r="C13" s="61" t="str">
        <x:v>Elementos del Codex</x:v>
      </x:c>
      <x:c r="D13" s="60" t="str">
        <x:v>codex.items.total</x:v>
      </x:c>
      <x:c r="E13" s="60" t="str">
        <x:v>Cuota visible</x:v>
      </x:c>
      <x:c r="F13" s="62" t="n">
        <x:v>1000</x:v>
      </x:c>
      <x:c r="G13" s="60" t="str">
        <x:v>elementos</x:v>
      </x:c>
      <x:c r="H13" s="60" t="str">
        <x:v>Total</x:v>
      </x:c>
      <x:c r="I13" s="60" t="str">
        <x:v>No</x:v>
      </x:c>
      <x:c r="J13" s="63" t="str">
        <x:v>Pendiente</x:v>
      </x:c>
      <x:c r="K13" s="64"/>
      <x:c r="L13" s="65" t="str">
        <x:v>Incluye los tipos oficiales. Publicaciones y notas rápidas se miden aparte.</x:v>
      </x:c>
      <x:c r="M13" s="62" t="str">
        <x:f>IF(J13="Aprobar",F13,IF(J13="Cambiar",K13,IF(J13="Eliminar","","Pendiente")))</x:f>
        <x:v>Pendiente</x:v>
      </x:c>
    </x:row>
    <x:row r="14" ht="15" hidden="0" customHeight="1">
      <x:c r="A14" s="60" t="str">
        <x:v>LIM-004</x:v>
      </x:c>
      <x:c r="B14" s="60" t="str">
        <x:v>Codex</x:v>
      </x:c>
      <x:c r="C14" s="61" t="str">
        <x:v>Relaciones</x:v>
      </x:c>
      <x:c r="D14" s="60" t="str">
        <x:v>codex.relations.total</x:v>
      </x:c>
      <x:c r="E14" s="60" t="str">
        <x:v>Cuota visible</x:v>
      </x:c>
      <x:c r="F14" s="62" t="n">
        <x:v>5000</x:v>
      </x:c>
      <x:c r="G14" s="60" t="str">
        <x:v>relaciones</x:v>
      </x:c>
      <x:c r="H14" s="60" t="str">
        <x:v>Total</x:v>
      </x:c>
      <x:c r="I14" s="60" t="str">
        <x:v>No</x:v>
      </x:c>
      <x:c r="J14" s="63" t="str">
        <x:v>Pendiente</x:v>
      </x:c>
      <x:c r="K14" s="64"/>
      <x:c r="L14" s="65" t="str">
        <x:v>Incluye relaciones manuales y aceptadas por el usuario.</x:v>
      </x:c>
      <x:c r="M14" s="62" t="str">
        <x:f>IF(J14="Aprobar",F14,IF(J14="Cambiar",K14,IF(J14="Eliminar","","Pendiente")))</x:f>
        <x:v>Pendiente</x:v>
      </x:c>
    </x:row>
    <x:row r="15" ht="15" hidden="0" customHeight="1">
      <x:c r="A15" s="60" t="str">
        <x:v>LIM-005</x:v>
      </x:c>
      <x:c r="B15" s="60" t="str">
        <x:v>Codex</x:v>
      </x:c>
      <x:c r="C15" s="61" t="str">
        <x:v>Campos personalizados</x:v>
      </x:c>
      <x:c r="D15" s="60" t="str">
        <x:v>codex.custom_fields.total</x:v>
      </x:c>
      <x:c r="E15" s="60" t="str">
        <x:v>Cuota visible</x:v>
      </x:c>
      <x:c r="F15" s="62" t="n">
        <x:v>100</x:v>
      </x:c>
      <x:c r="G15" s="60" t="str">
        <x:v>campos</x:v>
      </x:c>
      <x:c r="H15" s="60" t="str">
        <x:v>Total</x:v>
      </x:c>
      <x:c r="I15" s="60" t="str">
        <x:v>No</x:v>
      </x:c>
      <x:c r="J15" s="63" t="str">
        <x:v>Pendiente</x:v>
      </x:c>
      <x:c r="K15" s="64"/>
      <x:c r="L15" s="65" t="str">
        <x:v>Los campos conservan clave, tipo, etiqueta y motivo.</x:v>
      </x:c>
      <x:c r="M15" s="62" t="str">
        <x:f>IF(J15="Aprobar",F15,IF(J15="Cambiar",K15,IF(J15="Eliminar","","Pendiente")))</x:f>
        <x:v>Pendiente</x:v>
      </x:c>
    </x:row>
    <x:row r="16" ht="15" hidden="0" customHeight="1">
      <x:c r="A16" s="60" t="str">
        <x:v>LIM-006</x:v>
      </x:c>
      <x:c r="B16" s="60" t="str">
        <x:v>Codex</x:v>
      </x:c>
      <x:c r="C16" s="61" t="str">
        <x:v>Presets personales</x:v>
      </x:c>
      <x:c r="D16" s="60" t="str">
        <x:v>codex.presets.total</x:v>
      </x:c>
      <x:c r="E16" s="60" t="str">
        <x:v>Cuota visible</x:v>
      </x:c>
      <x:c r="F16" s="62" t="n">
        <x:v>25</x:v>
      </x:c>
      <x:c r="G16" s="60" t="str">
        <x:v>presets</x:v>
      </x:c>
      <x:c r="H16" s="60" t="str">
        <x:v>Total</x:v>
      </x:c>
      <x:c r="I16" s="60" t="str">
        <x:v>No</x:v>
      </x:c>
      <x:c r="J16" s="63" t="str">
        <x:v>Pendiente</x:v>
      </x:c>
      <x:c r="K16" s="64"/>
      <x:c r="L16" s="65" t="str">
        <x:v>Un elemento puede usar varios presets.</x:v>
      </x:c>
      <x:c r="M16" s="62" t="str">
        <x:f>IF(J16="Aprobar",F16,IF(J16="Cambiar",K16,IF(J16="Eliminar","","Pendiente")))</x:f>
        <x:v>Pendiente</x:v>
      </x:c>
    </x:row>
    <x:row r="17" ht="15" hidden="0" customHeight="1">
      <x:c r="A17" s="60" t="str">
        <x:v>LIM-007</x:v>
      </x:c>
      <x:c r="B17" s="60" t="str">
        <x:v>Notas</x:v>
      </x:c>
      <x:c r="C17" s="61" t="str">
        <x:v>Notas rápidas</x:v>
      </x:c>
      <x:c r="D17" s="60" t="str">
        <x:v>snippets.total</x:v>
      </x:c>
      <x:c r="E17" s="60" t="str">
        <x:v>Cuota visible</x:v>
      </x:c>
      <x:c r="F17" s="62" t="n">
        <x:v>500</x:v>
      </x:c>
      <x:c r="G17" s="60" t="str">
        <x:v>notas</x:v>
      </x:c>
      <x:c r="H17" s="60" t="str">
        <x:v>Total</x:v>
      </x:c>
      <x:c r="I17" s="60" t="str">
        <x:v>No</x:v>
      </x:c>
      <x:c r="J17" s="63" t="str">
        <x:v>Pendiente</x:v>
      </x:c>
      <x:c r="K17" s="64"/>
      <x:c r="L17" s="65" t="str">
        <x:v>Las notas rápidas no son items oficiales del Codex.</x:v>
      </x:c>
      <x:c r="M17" s="62" t="str">
        <x:f>IF(J17="Aprobar",F17,IF(J17="Cambiar",K17,IF(J17="Eliminar","","Pendiente")))</x:f>
        <x:v>Pendiente</x:v>
      </x:c>
    </x:row>
    <x:row r="18" ht="26.399999618530273" hidden="0" customHeight="1">
      <x:c r="A18" s="60" t="str">
        <x:v>LIM-008</x:v>
      </x:c>
      <x:c r="B18" s="60" t="str">
        <x:v>Publicaciones</x:v>
      </x:c>
      <x:c r="C18" s="61" t="str">
        <x:v>Publicaciones guardadas</x:v>
      </x:c>
      <x:c r="D18" s="60" t="str">
        <x:v>posts.total</x:v>
      </x:c>
      <x:c r="E18" s="60" t="str">
        <x:v>Cuota visible</x:v>
      </x:c>
      <x:c r="F18" s="62" t="n">
        <x:v>500</x:v>
      </x:c>
      <x:c r="G18" s="60" t="str">
        <x:v>publicaciones</x:v>
      </x:c>
      <x:c r="H18" s="60" t="str">
        <x:v>Total</x:v>
      </x:c>
      <x:c r="I18" s="60" t="str">
        <x:v>No</x:v>
      </x:c>
      <x:c r="J18" s="63" t="str">
        <x:v>Pendiente</x:v>
      </x:c>
      <x:c r="K18" s="64"/>
      <x:c r="L18" s="65" t="str">
        <x:v>Las publicaciones se identifican por tipo, pero no son items oficiales.</x:v>
      </x:c>
      <x:c r="M18" s="62" t="str">
        <x:f>IF(J18="Aprobar",F18,IF(J18="Cambiar",K18,IF(J18="Eliminar","","Pendiente")))</x:f>
        <x:v>Pendiente</x:v>
      </x:c>
    </x:row>
    <x:row r="19" ht="15" hidden="0" customHeight="1">
      <x:c r="A19" s="60" t="str">
        <x:v>LIM-009</x:v>
      </x:c>
      <x:c r="B19" s="60" t="str">
        <x:v>Publicaciones</x:v>
      </x:c>
      <x:c r="C19" s="61" t="str">
        <x:v>Publicaciones importadas</x:v>
      </x:c>
      <x:c r="D19" s="60" t="str">
        <x:v>posts.imported</x:v>
      </x:c>
      <x:c r="E19" s="60" t="str">
        <x:v>Cuota visible</x:v>
      </x:c>
      <x:c r="F19" s="62" t="n">
        <x:v>100</x:v>
      </x:c>
      <x:c r="G19" s="60" t="str">
        <x:v>publicaciones</x:v>
      </x:c>
      <x:c r="H19" s="60" t="str">
        <x:v>Mes</x:v>
      </x:c>
      <x:c r="I19" s="60" t="str">
        <x:v>No</x:v>
      </x:c>
      <x:c r="J19" s="63" t="str">
        <x:v>Pendiente</x:v>
      </x:c>
      <x:c r="K19" s="64"/>
      <x:c r="L19" s="65" t="str">
        <x:v>Incluye redes sociales y otras importaciones automáticas.</x:v>
      </x:c>
      <x:c r="M19" s="62" t="str">
        <x:f>IF(J19="Aprobar",F19,IF(J19="Cambiar",K19,IF(J19="Eliminar","","Pendiente")))</x:f>
        <x:v>Pendiente</x:v>
      </x:c>
    </x:row>
    <x:row r="20" ht="15" hidden="0" customHeight="1">
      <x:c r="A20" s="60" t="str">
        <x:v>LIM-010</x:v>
      </x:c>
      <x:c r="B20" s="60" t="str">
        <x:v>Datos</x:v>
      </x:c>
      <x:c r="C20" s="61" t="str">
        <x:v>Datasets</x:v>
      </x:c>
      <x:c r="D20" s="60" t="str">
        <x:v>datasets.total</x:v>
      </x:c>
      <x:c r="E20" s="60" t="str">
        <x:v>Cuota visible</x:v>
      </x:c>
      <x:c r="F20" s="62" t="n">
        <x:v>5</x:v>
      </x:c>
      <x:c r="G20" s="60" t="str">
        <x:v>datasets</x:v>
      </x:c>
      <x:c r="H20" s="60" t="str">
        <x:v>Total</x:v>
      </x:c>
      <x:c r="I20" s="60" t="str">
        <x:v>No</x:v>
      </x:c>
      <x:c r="J20" s="63" t="str">
        <x:v>Pendiente</x:v>
      </x:c>
      <x:c r="K20" s="64"/>
      <x:c r="L20" s="65" t="str">
        <x:v>Puede existir fuera de un Espacio o vincularse con uno.</x:v>
      </x:c>
      <x:c r="M20" s="62" t="str">
        <x:f>IF(J20="Aprobar",F20,IF(J20="Cambiar",K20,IF(J20="Eliminar","","Pendiente")))</x:f>
        <x:v>Pendiente</x:v>
      </x:c>
    </x:row>
    <x:row r="21" ht="26.399999618530273" hidden="0" customHeight="1">
      <x:c r="A21" s="60" t="str">
        <x:v>LIM-011</x:v>
      </x:c>
      <x:c r="B21" s="60" t="str">
        <x:v>Datos</x:v>
      </x:c>
      <x:c r="C21" s="61" t="str">
        <x:v>Filas de datasets</x:v>
      </x:c>
      <x:c r="D21" s="60" t="str">
        <x:v>datasets.rows.total</x:v>
      </x:c>
      <x:c r="E21" s="60" t="str">
        <x:v>Cuota visible</x:v>
      </x:c>
      <x:c r="F21" s="62" t="n">
        <x:v>25000</x:v>
      </x:c>
      <x:c r="G21" s="60" t="str">
        <x:v>filas</x:v>
      </x:c>
      <x:c r="H21" s="60" t="str">
        <x:v>Total</x:v>
      </x:c>
      <x:c r="I21" s="60" t="str">
        <x:v>No</x:v>
      </x:c>
      <x:c r="J21" s="63" t="str">
        <x:v>Pendiente</x:v>
      </x:c>
      <x:c r="K21" s="64"/>
      <x:c r="L21" s="65" t="str">
        <x:v>Las filas vinculadas al Codex permanecen sincronizadas en ambas direcciones.</x:v>
      </x:c>
      <x:c r="M21" s="62" t="str">
        <x:f>IF(J21="Aprobar",F21,IF(J21="Cambiar",K21,IF(J21="Eliminar","","Pendiente")))</x:f>
        <x:v>Pendiente</x:v>
      </x:c>
    </x:row>
    <x:row r="22" ht="15" hidden="0" customHeight="1">
      <x:c r="A22" s="60" t="str">
        <x:v>LIM-012</x:v>
      </x:c>
      <x:c r="B22" s="60" t="str">
        <x:v>Datos</x:v>
      </x:c>
      <x:c r="C22" s="61" t="str">
        <x:v>Columnas por dataset</x:v>
      </x:c>
      <x:c r="D22" s="60" t="str">
        <x:v>datasets.columns.per_dataset</x:v>
      </x:c>
      <x:c r="E22" s="60" t="str">
        <x:v>Protección técnica</x:v>
      </x:c>
      <x:c r="F22" s="62" t="n">
        <x:v>100</x:v>
      </x:c>
      <x:c r="G22" s="60" t="str">
        <x:v>columnas</x:v>
      </x:c>
      <x:c r="H22" s="60" t="str">
        <x:v>Por dataset</x:v>
      </x:c>
      <x:c r="I22" s="60" t="str">
        <x:v>Sí</x:v>
      </x:c>
      <x:c r="J22" s="63" t="str">
        <x:v>Pendiente</x:v>
      </x:c>
      <x:c r="K22" s="64"/>
      <x:c r="L22" s="65" t="str">
        <x:v>Evita hojas inmanejables y cargas accidentales.</x:v>
      </x:c>
      <x:c r="M22" s="62" t="str">
        <x:f>IF(J22="Aprobar",F22,IF(J22="Cambiar",K22,IF(J22="Eliminar","","Pendiente")))</x:f>
        <x:v>Pendiente</x:v>
      </x:c>
    </x:row>
    <x:row r="23" ht="15" hidden="0" customHeight="1">
      <x:c r="A23" s="60" t="str">
        <x:v>LIM-013</x:v>
      </x:c>
      <x:c r="B23" s="60" t="str">
        <x:v>Datos</x:v>
      </x:c>
      <x:c r="C23" s="61" t="str">
        <x:v>Archivo de importación</x:v>
      </x:c>
      <x:c r="D23" s="60" t="str">
        <x:v>datasets.import_bytes</x:v>
      </x:c>
      <x:c r="E23" s="60" t="str">
        <x:v>Protección técnica</x:v>
      </x:c>
      <x:c r="F23" s="62" t="n">
        <x:v>25</x:v>
      </x:c>
      <x:c r="G23" s="60" t="str">
        <x:v>MB</x:v>
      </x:c>
      <x:c r="H23" s="60" t="str">
        <x:v>Por archivo</x:v>
      </x:c>
      <x:c r="I23" s="60" t="str">
        <x:v>Sí</x:v>
      </x:c>
      <x:c r="J23" s="63" t="str">
        <x:v>Pendiente</x:v>
      </x:c>
      <x:c r="K23" s="64"/>
      <x:c r="L23" s="65" t="str">
        <x:v>Se valida el tipo real del archivo y su contenido.</x:v>
      </x:c>
      <x:c r="M23" s="62" t="str">
        <x:f>IF(J23="Aprobar",F23,IF(J23="Cambiar",K23,IF(J23="Eliminar","","Pendiente")))</x:f>
        <x:v>Pendiente</x:v>
      </x:c>
    </x:row>
    <x:row r="24" ht="15" hidden="0" customHeight="1">
      <x:c r="A24" s="60" t="str">
        <x:v>LIM-014</x:v>
      </x:c>
      <x:c r="B24" s="60" t="str">
        <x:v>Archivos</x:v>
      </x:c>
      <x:c r="C24" s="61" t="str">
        <x:v>Almacenamiento</x:v>
      </x:c>
      <x:c r="D24" s="60" t="str">
        <x:v>storage.bytes</x:v>
      </x:c>
      <x:c r="E24" s="60" t="str">
        <x:v>Cuota visible</x:v>
      </x:c>
      <x:c r="F24" s="62" t="n">
        <x:v>250</x:v>
      </x:c>
      <x:c r="G24" s="60" t="str">
        <x:v>MB</x:v>
      </x:c>
      <x:c r="H24" s="60" t="str">
        <x:v>Total</x:v>
      </x:c>
      <x:c r="I24" s="60" t="str">
        <x:v>No</x:v>
      </x:c>
      <x:c r="J24" s="63" t="str">
        <x:v>Pendiente</x:v>
      </x:c>
      <x:c r="K24" s="64"/>
      <x:c r="L24" s="65" t="str">
        <x:v>Suma imágenes, documentos, audio y video del usuario.</x:v>
      </x:c>
      <x:c r="M24" s="62" t="str">
        <x:f>IF(J24="Aprobar",F24,IF(J24="Cambiar",K24,IF(J24="Eliminar","","Pendiente")))</x:f>
        <x:v>Pendiente</x:v>
      </x:c>
    </x:row>
    <x:row r="25" ht="26.399999618530273" hidden="0" customHeight="1">
      <x:c r="A25" s="60" t="str">
        <x:v>LIM-015</x:v>
      </x:c>
      <x:c r="B25" s="60" t="str">
        <x:v>Archivos</x:v>
      </x:c>
      <x:c r="C25" s="61" t="str">
        <x:v>Imagen individual</x:v>
      </x:c>
      <x:c r="D25" s="60" t="str">
        <x:v>storage.image_bytes</x:v>
      </x:c>
      <x:c r="E25" s="60" t="str">
        <x:v>Protección técnica</x:v>
      </x:c>
      <x:c r="F25" s="62" t="n">
        <x:v>10</x:v>
      </x:c>
      <x:c r="G25" s="60" t="str">
        <x:v>MB</x:v>
      </x:c>
      <x:c r="H25" s="60" t="str">
        <x:v>Por archivo</x:v>
      </x:c>
      <x:c r="I25" s="60" t="str">
        <x:v>Sí</x:v>
      </x:c>
      <x:c r="J25" s="63" t="str">
        <x:v>Pendiente</x:v>
      </x:c>
      <x:c r="K25" s="64"/>
      <x:c r="L25" s="65" t="str">
        <x:v>La app puede generar versiones optimizadas sin duplicar la cuota del original.</x:v>
      </x:c>
      <x:c r="M25" s="62" t="str">
        <x:f>IF(J25="Aprobar",F25,IF(J25="Cambiar",K25,IF(J25="Eliminar","","Pendiente")))</x:f>
        <x:v>Pendiente</x:v>
      </x:c>
    </x:row>
    <x:row r="26" ht="15" hidden="0" customHeight="1">
      <x:c r="A26" s="60" t="str">
        <x:v>LIM-016</x:v>
      </x:c>
      <x:c r="B26" s="60" t="str">
        <x:v>Archivos</x:v>
      </x:c>
      <x:c r="C26" s="61" t="str">
        <x:v>Documento individual</x:v>
      </x:c>
      <x:c r="D26" s="60" t="str">
        <x:v>storage.document_bytes</x:v>
      </x:c>
      <x:c r="E26" s="60" t="str">
        <x:v>Protección técnica</x:v>
      </x:c>
      <x:c r="F26" s="62" t="n">
        <x:v>25</x:v>
      </x:c>
      <x:c r="G26" s="60" t="str">
        <x:v>MB</x:v>
      </x:c>
      <x:c r="H26" s="60" t="str">
        <x:v>Por archivo</x:v>
      </x:c>
      <x:c r="I26" s="60" t="str">
        <x:v>Sí</x:v>
      </x:c>
      <x:c r="J26" s="63" t="str">
        <x:v>Pendiente</x:v>
      </x:c>
      <x:c r="K26" s="64"/>
      <x:c r="L26" s="65" t="str">
        <x:v>Aplica antes de OCR, extracción o indexación.</x:v>
      </x:c>
      <x:c r="M26" s="62" t="str">
        <x:f>IF(J26="Aprobar",F26,IF(J26="Cambiar",K26,IF(J26="Eliminar","","Pendiente")))</x:f>
        <x:v>Pendiente</x:v>
      </x:c>
    </x:row>
    <x:row r="27" ht="15" hidden="0" customHeight="1">
      <x:c r="A27" s="60" t="str">
        <x:v>LIM-017</x:v>
      </x:c>
      <x:c r="B27" s="60" t="str">
        <x:v>Audio</x:v>
      </x:c>
      <x:c r="C27" s="61" t="str">
        <x:v>Audio procesado</x:v>
      </x:c>
      <x:c r="D27" s="60" t="str">
        <x:v>media.audio_minutes</x:v>
      </x:c>
      <x:c r="E27" s="60" t="str">
        <x:v>Cuota visible</x:v>
      </x:c>
      <x:c r="F27" s="62" t="n">
        <x:v>60</x:v>
      </x:c>
      <x:c r="G27" s="60" t="str">
        <x:v>minutos</x:v>
      </x:c>
      <x:c r="H27" s="60" t="str">
        <x:v>Mes</x:v>
      </x:c>
      <x:c r="I27" s="60" t="str">
        <x:v>No</x:v>
      </x:c>
      <x:c r="J27" s="63" t="str">
        <x:v>Pendiente</x:v>
      </x:c>
      <x:c r="K27" s="64"/>
      <x:c r="L27" s="65" t="str">
        <x:v>Incluye transcripción y análisis de audio.</x:v>
      </x:c>
      <x:c r="M27" s="62" t="str">
        <x:f>IF(J27="Aprobar",F27,IF(J27="Cambiar",K27,IF(J27="Eliminar","","Pendiente")))</x:f>
        <x:v>Pendiente</x:v>
      </x:c>
    </x:row>
    <x:row r="28" ht="15" hidden="0" customHeight="1">
      <x:c r="A28" s="60" t="str">
        <x:v>LIM-018</x:v>
      </x:c>
      <x:c r="B28" s="60" t="str">
        <x:v>Documentos</x:v>
      </x:c>
      <x:c r="C28" s="61" t="str">
        <x:v>Páginas con OCR</x:v>
      </x:c>
      <x:c r="D28" s="60" t="str">
        <x:v>documents.ocr_pages</x:v>
      </x:c>
      <x:c r="E28" s="60" t="str">
        <x:v>Cuota visible</x:v>
      </x:c>
      <x:c r="F28" s="62" t="n">
        <x:v>100</x:v>
      </x:c>
      <x:c r="G28" s="60" t="str">
        <x:v>páginas</x:v>
      </x:c>
      <x:c r="H28" s="60" t="str">
        <x:v>Mes</x:v>
      </x:c>
      <x:c r="I28" s="60" t="str">
        <x:v>No</x:v>
      </x:c>
      <x:c r="J28" s="63" t="str">
        <x:v>Pendiente</x:v>
      </x:c>
      <x:c r="K28" s="64"/>
      <x:c r="L28" s="65" t="str">
        <x:v>Se cuenta solamente el procesamiento completado.</x:v>
      </x:c>
      <x:c r="M28" s="62" t="str">
        <x:f>IF(J28="Aprobar",F28,IF(J28="Cambiar",K28,IF(J28="Eliminar","","Pendiente")))</x:f>
        <x:v>Pendiente</x:v>
      </x:c>
    </x:row>
    <x:row r="29" ht="15" hidden="0" customHeight="1">
      <x:c r="A29" s="60" t="str">
        <x:v>LIM-019</x:v>
      </x:c>
      <x:c r="B29" s="60" t="str">
        <x:v>Memoria</x:v>
      </x:c>
      <x:c r="C29" s="61" t="str">
        <x:v>Contenido disponible en Memoria</x:v>
      </x:c>
      <x:c r="D29" s="60" t="str">
        <x:v>memory.source_tokens</x:v>
      </x:c>
      <x:c r="E29" s="60" t="str">
        <x:v>Cuota visible</x:v>
      </x:c>
      <x:c r="F29" s="62" t="n">
        <x:v>500000</x:v>
      </x:c>
      <x:c r="G29" s="60" t="str">
        <x:v>tokens internos</x:v>
      </x:c>
      <x:c r="H29" s="60" t="str">
        <x:v>Total</x:v>
      </x:c>
      <x:c r="I29" s="60" t="str">
        <x:v>No</x:v>
      </x:c>
      <x:c r="J29" s="63" t="str">
        <x:v>Pendiente</x:v>
      </x:c>
      <x:c r="K29" s="64"/>
      <x:c r="L29" s="65" t="str">
        <x:v>En la interfaz se mostrará como porcentaje, no como tokens.</x:v>
      </x:c>
      <x:c r="M29" s="62" t="str">
        <x:f>IF(J29="Aprobar",F29,IF(J29="Cambiar",K29,IF(J29="Eliminar","","Pendiente")))</x:f>
        <x:v>Pendiente</x:v>
      </x:c>
    </x:row>
    <x:row r="30" ht="15" hidden="0" customHeight="1">
      <x:c r="A30" s="60" t="str">
        <x:v>LIM-020</x:v>
      </x:c>
      <x:c r="B30" s="60" t="str">
        <x:v>Memoria</x:v>
      </x:c>
      <x:c r="C30" s="61" t="str">
        <x:v>Contenido nuevo o modificado</x:v>
      </x:c>
      <x:c r="D30" s="60" t="str">
        <x:v>memory.embedding_tokens</x:v>
      </x:c>
      <x:c r="E30" s="60" t="str">
        <x:v>Cuota visible</x:v>
      </x:c>
      <x:c r="F30" s="62" t="n">
        <x:v>250000</x:v>
      </x:c>
      <x:c r="G30" s="60" t="str">
        <x:v>tokens internos</x:v>
      </x:c>
      <x:c r="H30" s="60" t="str">
        <x:v>Mes</x:v>
      </x:c>
      <x:c r="I30" s="60" t="str">
        <x:v>No</x:v>
      </x:c>
      <x:c r="J30" s="63" t="str">
        <x:v>Pendiente</x:v>
      </x:c>
      <x:c r="K30" s="64"/>
      <x:c r="L30" s="65" t="str">
        <x:v>Solo se procesa contenido vinculado con un Espacio.</x:v>
      </x:c>
      <x:c r="M30" s="62" t="str">
        <x:f>IF(J30="Aprobar",F30,IF(J30="Cambiar",K30,IF(J30="Eliminar","","Pendiente")))</x:f>
        <x:v>Pendiente</x:v>
      </x:c>
    </x:row>
    <x:row r="31" ht="15" hidden="0" customHeight="1">
      <x:c r="A31" s="60" t="str">
        <x:v>LIM-021</x:v>
      </x:c>
      <x:c r="B31" s="60" t="str">
        <x:v>Memoria</x:v>
      </x:c>
      <x:c r="C31" s="61" t="str">
        <x:v>Búsquedas en Memoria</x:v>
      </x:c>
      <x:c r="D31" s="60" t="str">
        <x:v>memory.searches</x:v>
      </x:c>
      <x:c r="E31" s="60" t="str">
        <x:v>Cuota visible</x:v>
      </x:c>
      <x:c r="F31" s="62" t="n">
        <x:v>1000</x:v>
      </x:c>
      <x:c r="G31" s="60" t="str">
        <x:v>búsquedas</x:v>
      </x:c>
      <x:c r="H31" s="60" t="str">
        <x:v>Mes</x:v>
      </x:c>
      <x:c r="I31" s="60" t="str">
        <x:v>No</x:v>
      </x:c>
      <x:c r="J31" s="63" t="str">
        <x:v>Pendiente</x:v>
      </x:c>
      <x:c r="K31" s="64"/>
      <x:c r="L31" s="65" t="str">
        <x:v>Incluye recuperación semántica e híbrida.</x:v>
      </x:c>
      <x:c r="M31" s="62" t="str">
        <x:f>IF(J31="Aprobar",F31,IF(J31="Cambiar",K31,IF(J31="Eliminar","","Pendiente")))</x:f>
        <x:v>Pendiente</x:v>
      </x:c>
    </x:row>
    <x:row r="32" ht="26.399999618530273" hidden="0" customHeight="1">
      <x:c r="A32" s="60" t="str">
        <x:v>LIM-022</x:v>
      </x:c>
      <x:c r="B32" s="60" t="str">
        <x:v>IA</x:v>
      </x:c>
      <x:c r="C32" s="61" t="str">
        <x:v>Uso de IA</x:v>
      </x:c>
      <x:c r="D32" s="60" t="str">
        <x:v>ai.weighted_units</x:v>
      </x:c>
      <x:c r="E32" s="60" t="str">
        <x:v>Cuota visible</x:v>
      </x:c>
      <x:c r="F32" s="62" t="n">
        <x:v>50</x:v>
      </x:c>
      <x:c r="G32" s="60" t="str">
        <x:v>acciones equivalentes</x:v>
      </x:c>
      <x:c r="H32" s="60" t="str">
        <x:v>Mes</x:v>
      </x:c>
      <x:c r="I32" s="60" t="str">
        <x:v>No</x:v>
      </x:c>
      <x:c r="J32" s="63" t="str">
        <x:v>Pendiente</x:v>
      </x:c>
      <x:c r="K32" s="64"/>
      <x:c r="L32" s="65" t="str">
        <x:v>Una acción puede costar más unidades según modelo, tamaño y herramientas.</x:v>
      </x:c>
      <x:c r="M32" s="62" t="str">
        <x:f>IF(J32="Aprobar",F32,IF(J32="Cambiar",K32,IF(J32="Eliminar","","Pendiente")))</x:f>
        <x:v>Pendiente</x:v>
      </x:c>
    </x:row>
    <x:row r="33" ht="15" hidden="0" customHeight="1">
      <x:c r="A33" s="60" t="str">
        <x:v>LIM-023</x:v>
      </x:c>
      <x:c r="B33" s="60" t="str">
        <x:v>IA</x:v>
      </x:c>
      <x:c r="C33" s="61" t="str">
        <x:v>Costo interno de IA</x:v>
      </x:c>
      <x:c r="D33" s="60" t="str">
        <x:v>ai.cost_microusd</x:v>
      </x:c>
      <x:c r="E33" s="60" t="str">
        <x:v>Costo interno</x:v>
      </x:c>
      <x:c r="F33" s="62" t="n">
        <x:v>0.5</x:v>
      </x:c>
      <x:c r="G33" s="60" t="str">
        <x:v>USD</x:v>
      </x:c>
      <x:c r="H33" s="60" t="str">
        <x:v>Mes</x:v>
      </x:c>
      <x:c r="I33" s="60" t="str">
        <x:v>No</x:v>
      </x:c>
      <x:c r="J33" s="63" t="str">
        <x:v>Pendiente</x:v>
      </x:c>
      <x:c r="K33" s="64"/>
      <x:c r="L33" s="65" t="str">
        <x:v>Techo interno de protección. El usuario no verá dólares.</x:v>
      </x:c>
      <x:c r="M33" s="62" t="str">
        <x:f>IF(J33="Aprobar",F33,IF(J33="Cambiar",K33,IF(J33="Eliminar","","Pendiente")))</x:f>
        <x:v>Pendiente</x:v>
      </x:c>
    </x:row>
    <x:row r="34" ht="26.399999618530273" hidden="0" customHeight="1">
      <x:c r="A34" s="60" t="str">
        <x:v>LIM-024</x:v>
      </x:c>
      <x:c r="B34" s="60" t="str">
        <x:v>Funciones avanzadas</x:v>
      </x:c>
      <x:c r="C34" s="61" t="str">
        <x:v>Uso de funciones avanzadas</x:v>
      </x:c>
      <x:c r="D34" s="60" t="str">
        <x:v>mcp.weighted_units</x:v>
      </x:c>
      <x:c r="E34" s="60" t="str">
        <x:v>Cuota visible</x:v>
      </x:c>
      <x:c r="F34" s="62" t="n">
        <x:v>150</x:v>
      </x:c>
      <x:c r="G34" s="60" t="str">
        <x:v>unidades</x:v>
      </x:c>
      <x:c r="H34" s="60" t="str">
        <x:v>Mes</x:v>
      </x:c>
      <x:c r="I34" s="60" t="str">
        <x:v>No</x:v>
      </x:c>
      <x:c r="J34" s="63" t="str">
        <x:v>Pendiente</x:v>
      </x:c>
      <x:c r="K34" s="64"/>
      <x:c r="L34" s="65" t="str">
        <x:v>Lecturas, escrituras, procesos masivos y servicios externos tienen pesos distintos.</x:v>
      </x:c>
      <x:c r="M34" s="62" t="str">
        <x:f>IF(J34="Aprobar",F34,IF(J34="Cambiar",K34,IF(J34="Eliminar","","Pendiente")))</x:f>
        <x:v>Pendiente</x:v>
      </x:c>
    </x:row>
    <x:row r="35" ht="15" hidden="0" customHeight="1">
      <x:c r="A35" s="60" t="str">
        <x:v>LIM-025</x:v>
      </x:c>
      <x:c r="B35" s="60" t="str">
        <x:v>Funciones avanzadas</x:v>
      </x:c>
      <x:c r="C35" s="61" t="str">
        <x:v>Registros por operación masiva</x:v>
      </x:c>
      <x:c r="D35" s="60" t="str">
        <x:v>mcp.bulk_records</x:v>
      </x:c>
      <x:c r="E35" s="60" t="str">
        <x:v>Protección técnica</x:v>
      </x:c>
      <x:c r="F35" s="62" t="n">
        <x:v>100</x:v>
      </x:c>
      <x:c r="G35" s="60" t="str">
        <x:v>registros</x:v>
      </x:c>
      <x:c r="H35" s="60" t="str">
        <x:v>Por llamada</x:v>
      </x:c>
      <x:c r="I35" s="60" t="str">
        <x:v>Sí</x:v>
      </x:c>
      <x:c r="J35" s="63" t="str">
        <x:v>Pendiente</x:v>
      </x:c>
      <x:c r="K35" s="64"/>
      <x:c r="L35" s="65" t="str">
        <x:v>Una operación mayor debe dividirse y conservar idempotencia.</x:v>
      </x:c>
      <x:c r="M35" s="62" t="str">
        <x:f>IF(J35="Aprobar",F35,IF(J35="Cambiar",K35,IF(J35="Eliminar","","Pendiente")))</x:f>
        <x:v>Pendiente</x:v>
      </x:c>
    </x:row>
    <x:row r="36" ht="15" hidden="0" customHeight="1">
      <x:c r="A36" s="60" t="str">
        <x:v>LIM-026</x:v>
      </x:c>
      <x:c r="B36" s="60" t="str">
        <x:v>Fuentes</x:v>
      </x:c>
      <x:c r="C36" s="61" t="str">
        <x:v>Extracciones web o sociales</x:v>
      </x:c>
      <x:c r="D36" s="60" t="str">
        <x:v>extractions.total</x:v>
      </x:c>
      <x:c r="E36" s="60" t="str">
        <x:v>Cuota visible</x:v>
      </x:c>
      <x:c r="F36" s="62" t="n">
        <x:v>50</x:v>
      </x:c>
      <x:c r="G36" s="60" t="str">
        <x:v>extracciones</x:v>
      </x:c>
      <x:c r="H36" s="60" t="str">
        <x:v>Mes</x:v>
      </x:c>
      <x:c r="I36" s="60" t="str">
        <x:v>No</x:v>
      </x:c>
      <x:c r="J36" s="63" t="str">
        <x:v>Pendiente</x:v>
      </x:c>
      <x:c r="K36" s="64"/>
      <x:c r="L36" s="65" t="str">
        <x:v>Incluye descargar y procesar contenido externo.</x:v>
      </x:c>
      <x:c r="M36" s="62" t="str">
        <x:f>IF(J36="Aprobar",F36,IF(J36="Cambiar",K36,IF(J36="Eliminar","","Pendiente")))</x:f>
        <x:v>Pendiente</x:v>
      </x:c>
    </x:row>
    <x:row r="37" ht="15" hidden="0" customHeight="1">
      <x:c r="A37" s="60" t="str">
        <x:v>LIM-027</x:v>
      </x:c>
      <x:c r="B37" s="60" t="str">
        <x:v>Automatización</x:v>
      </x:c>
      <x:c r="C37" s="61" t="str">
        <x:v>Automatizaciones activas</x:v>
      </x:c>
      <x:c r="D37" s="60" t="str">
        <x:v>automations.active</x:v>
      </x:c>
      <x:c r="E37" s="60" t="str">
        <x:v>Cuota visible</x:v>
      </x:c>
      <x:c r="F37" s="62" t="n">
        <x:v>3</x:v>
      </x:c>
      <x:c r="G37" s="60" t="str">
        <x:v>automatizaciones</x:v>
      </x:c>
      <x:c r="H37" s="60" t="str">
        <x:v>Total</x:v>
      </x:c>
      <x:c r="I37" s="60" t="str">
        <x:v>No</x:v>
      </x:c>
      <x:c r="J37" s="63" t="str">
        <x:v>Pendiente</x:v>
      </x:c>
      <x:c r="K37" s="64"/>
      <x:c r="L37" s="65" t="str">
        <x:v>No incluye recordatorios locales sin procesamiento externo.</x:v>
      </x:c>
      <x:c r="M37" s="62" t="str">
        <x:f>IF(J37="Aprobar",F37,IF(J37="Cambiar",K37,IF(J37="Eliminar","","Pendiente")))</x:f>
        <x:v>Pendiente</x:v>
      </x:c>
    </x:row>
    <x:row r="38" ht="26.399999618530273" hidden="0" customHeight="1">
      <x:c r="A38" s="60" t="str">
        <x:v>LIM-028</x:v>
      </x:c>
      <x:c r="B38" s="60" t="str">
        <x:v>Automatización</x:v>
      </x:c>
      <x:c r="C38" s="61" t="str">
        <x:v>Ejecuciones automáticas</x:v>
      </x:c>
      <x:c r="D38" s="60" t="str">
        <x:v>automations.runs</x:v>
      </x:c>
      <x:c r="E38" s="60" t="str">
        <x:v>Cuota visible</x:v>
      </x:c>
      <x:c r="F38" s="62" t="n">
        <x:v>100</x:v>
      </x:c>
      <x:c r="G38" s="60" t="str">
        <x:v>ejecuciones</x:v>
      </x:c>
      <x:c r="H38" s="60" t="str">
        <x:v>Mes</x:v>
      </x:c>
      <x:c r="I38" s="60" t="str">
        <x:v>No</x:v>
      </x:c>
      <x:c r="J38" s="63" t="str">
        <x:v>Pendiente</x:v>
      </x:c>
      <x:c r="K38" s="64"/>
      <x:c r="L38" s="65" t="str">
        <x:v>Las ejecuciones fallidas antes de iniciar trabajo no consumen cuota.</x:v>
      </x:c>
      <x:c r="M38" s="62" t="str">
        <x:f>IF(J38="Aprobar",F38,IF(J38="Cambiar",K38,IF(J38="Eliminar","","Pendiente")))</x:f>
        <x:v>Pendiente</x:v>
      </x:c>
    </x:row>
    <x:row r="39" ht="26.399999618530273" hidden="0" customHeight="1">
      <x:c r="A39" s="60" t="str">
        <x:v>LIM-029</x:v>
      </x:c>
      <x:c r="B39" s="60" t="str">
        <x:v>Portabilidad</x:v>
      </x:c>
      <x:c r="C39" s="61" t="str">
        <x:v>Exportaciones</x:v>
      </x:c>
      <x:c r="D39" s="60" t="str">
        <x:v>exports.total</x:v>
      </x:c>
      <x:c r="E39" s="60" t="str">
        <x:v>Cuota visible</x:v>
      </x:c>
      <x:c r="F39" s="62" t="n">
        <x:v>10</x:v>
      </x:c>
      <x:c r="G39" s="60" t="str">
        <x:v>exportaciones</x:v>
      </x:c>
      <x:c r="H39" s="60" t="str">
        <x:v>Mes</x:v>
      </x:c>
      <x:c r="I39" s="60" t="str">
        <x:v>No</x:v>
      </x:c>
      <x:c r="J39" s="63" t="str">
        <x:v>Pendiente</x:v>
      </x:c>
      <x:c r="K39" s="64"/>
      <x:c r="L39" s="65" t="str">
        <x:v>Al alcanzar el límite se mantiene la lectura y el acceso a los datos.</x:v>
      </x:c>
      <x:c r="M39" s="62" t="str">
        <x:f>IF(J39="Aprobar",F39,IF(J39="Cambiar",K39,IF(J39="Eliminar","","Pendiente")))</x:f>
        <x:v>Pendiente</x:v>
      </x:c>
    </x:row>
    <x:row r="40" ht="26.399999618530273" hidden="0" customHeight="1">
      <x:c r="A40" s="60" t="str">
        <x:v>LIM-030</x:v>
      </x:c>
      <x:c r="B40" s="60" t="str">
        <x:v>Compartir</x:v>
      </x:c>
      <x:c r="C40" s="61" t="str">
        <x:v>Enlaces compartidos</x:v>
      </x:c>
      <x:c r="D40" s="60" t="str">
        <x:v>shares.active</x:v>
      </x:c>
      <x:c r="E40" s="60" t="str">
        <x:v>Cuota visible</x:v>
      </x:c>
      <x:c r="F40" s="62" t="n">
        <x:v>10</x:v>
      </x:c>
      <x:c r="G40" s="60" t="str">
        <x:v>enlaces</x:v>
      </x:c>
      <x:c r="H40" s="60" t="str">
        <x:v>Total</x:v>
      </x:c>
      <x:c r="I40" s="60" t="str">
        <x:v>No</x:v>
      </x:c>
      <x:c r="J40" s="63" t="str">
        <x:v>Pendiente</x:v>
      </x:c>
      <x:c r="K40" s="64"/>
      <x:c r="L40" s="65" t="str">
        <x:v>Cada enlace puede revocarse y debe respetar la privacidad del recurso.</x:v>
      </x:c>
      <x:c r="M40" s="62" t="str">
        <x:f>IF(J40="Aprobar",F40,IF(J40="Cambiar",K40,IF(J40="Eliminar","","Pendiente")))</x:f>
        <x:v>Pendiente</x:v>
      </x:c>
    </x:row>
    <x:row r="41" ht="26.399999618530273" hidden="0" customHeight="1">
      <x:c r="A41" s="60" t="str">
        <x:v>LIM-031</x:v>
      </x:c>
      <x:c r="B41" s="60" t="str">
        <x:v>Historial</x:v>
      </x:c>
      <x:c r="C41" s="61" t="str">
        <x:v>Papelera</x:v>
      </x:c>
      <x:c r="D41" s="60" t="str">
        <x:v>retention.trash_days</x:v>
      </x:c>
      <x:c r="E41" s="60" t="str">
        <x:v>Cuota visible</x:v>
      </x:c>
      <x:c r="F41" s="62" t="n">
        <x:v>30</x:v>
      </x:c>
      <x:c r="G41" s="60" t="str">
        <x:v>días</x:v>
      </x:c>
      <x:c r="H41" s="60" t="str">
        <x:v>Retención</x:v>
      </x:c>
      <x:c r="I41" s="60" t="str">
        <x:v>No</x:v>
      </x:c>
      <x:c r="J41" s="63" t="str">
        <x:v>Pendiente</x:v>
      </x:c>
      <x:c r="K41" s="64"/>
      <x:c r="L41" s="65" t="str">
        <x:v>Después del plazo se elimina mediante un proceso documentado.</x:v>
      </x:c>
      <x:c r="M41" s="62" t="str">
        <x:f>IF(J41="Aprobar",F41,IF(J41="Cambiar",K41,IF(J41="Eliminar","","Pendiente")))</x:f>
        <x:v>Pendiente</x:v>
      </x:c>
    </x:row>
    <x:row r="42" ht="15" hidden="0" customHeight="1">
      <x:c r="A42" s="60" t="str">
        <x:v>LIM-032</x:v>
      </x:c>
      <x:c r="B42" s="60" t="str">
        <x:v>Historial</x:v>
      </x:c>
      <x:c r="C42" s="61" t="str">
        <x:v>Versiones por documento</x:v>
      </x:c>
      <x:c r="D42" s="60" t="str">
        <x:v>retention.document_versions</x:v>
      </x:c>
      <x:c r="E42" s="60" t="str">
        <x:v>Cuota visible</x:v>
      </x:c>
      <x:c r="F42" s="62" t="n">
        <x:v>50</x:v>
      </x:c>
      <x:c r="G42" s="60" t="str">
        <x:v>versiones</x:v>
      </x:c>
      <x:c r="H42" s="60" t="str">
        <x:v>Por documento</x:v>
      </x:c>
      <x:c r="I42" s="60" t="str">
        <x:v>No</x:v>
      </x:c>
      <x:c r="J42" s="63" t="str">
        <x:v>Pendiente</x:v>
      </x:c>
      <x:c r="K42" s="64"/>
      <x:c r="L42" s="65" t="str">
        <x:v>Se puede combinar con una ventana de 30 días.</x:v>
      </x:c>
      <x:c r="M42" s="62" t="str">
        <x:f>IF(J42="Aprobar",F42,IF(J42="Cambiar",K42,IF(J42="Eliminar","","Pendiente")))</x:f>
        <x:v>Pendiente</x:v>
      </x:c>
    </x:row>
    <x:row r="43" ht="15" hidden="0" customHeight="1">
      <x:c r="A43" s="60" t="str">
        <x:v>LIM-033</x:v>
      </x:c>
      <x:c r="B43" s="60" t="str">
        <x:v>Mapas</x:v>
      </x:c>
      <x:c r="C43" s="61" t="str">
        <x:v>Búsquedas de lugares</x:v>
      </x:c>
      <x:c r="D43" s="60" t="str">
        <x:v>maps.searches</x:v>
      </x:c>
      <x:c r="E43" s="60" t="str">
        <x:v>Cuota visible</x:v>
      </x:c>
      <x:c r="F43" s="62" t="n">
        <x:v>500</x:v>
      </x:c>
      <x:c r="G43" s="60" t="str">
        <x:v>búsquedas</x:v>
      </x:c>
      <x:c r="H43" s="60" t="str">
        <x:v>Mes</x:v>
      </x:c>
      <x:c r="I43" s="60" t="str">
        <x:v>No</x:v>
      </x:c>
      <x:c r="J43" s="63" t="str">
        <x:v>Pendiente</x:v>
      </x:c>
      <x:c r="K43" s="64"/>
      <x:c r="L43" s="65" t="str">
        <x:v>Incluye geocodificación y asociación de POI.</x:v>
      </x:c>
      <x:c r="M43" s="62" t="str">
        <x:f>IF(J43="Aprobar",F43,IF(J43="Cambiar",K43,IF(J43="Eliminar","","Pendiente")))</x:f>
        <x:v>Pendiente</x:v>
      </x:c>
    </x:row>
    <x:row r="44" ht="26.399999618530273" hidden="0" customHeight="1">
      <x:c r="A44" s="60" t="str">
        <x:v>LIM-034</x:v>
      </x:c>
      <x:c r="B44" s="60" t="str">
        <x:v>Mapas</x:v>
      </x:c>
      <x:c r="C44" s="61" t="str">
        <x:v>Rutas calculadas</x:v>
      </x:c>
      <x:c r="D44" s="60" t="str">
        <x:v>maps.routes</x:v>
      </x:c>
      <x:c r="E44" s="60" t="str">
        <x:v>Cuota visible</x:v>
      </x:c>
      <x:c r="F44" s="62" t="n">
        <x:v>50</x:v>
      </x:c>
      <x:c r="G44" s="60" t="str">
        <x:v>rutas</x:v>
      </x:c>
      <x:c r="H44" s="60" t="str">
        <x:v>Mes</x:v>
      </x:c>
      <x:c r="I44" s="60" t="str">
        <x:v>No</x:v>
      </x:c>
      <x:c r="J44" s="63" t="str">
        <x:v>Pendiente</x:v>
      </x:c>
      <x:c r="K44" s="64"/>
      <x:c r="L44" s="65" t="str">
        <x:v>Se mide cuando un proveedor externo responde correctamente.</x:v>
      </x:c>
      <x:c r="M44" s="62" t="str">
        <x:f>IF(J44="Aprobar",F44,IF(J44="Cambiar",K44,IF(J44="Eliminar","","Pendiente")))</x:f>
        <x:v>Pendiente</x:v>
      </x:c>
    </x:row>
    <x:row r="45" ht="26.399999618530273" hidden="0" customHeight="1">
      <x:c r="A45" s="66" t="str">
        <x:v>LIM-035</x:v>
      </x:c>
      <x:c r="B45" s="66" t="str">
        <x:v>Mapas</x:v>
      </x:c>
      <x:c r="C45" s="67" t="str">
        <x:v>Vértices por polígono</x:v>
      </x:c>
      <x:c r="D45" s="66" t="str">
        <x:v>maps.polygon_vertices</x:v>
      </x:c>
      <x:c r="E45" s="66" t="str">
        <x:v>Protección técnica</x:v>
      </x:c>
      <x:c r="F45" s="68" t="n">
        <x:v>5000</x:v>
      </x:c>
      <x:c r="G45" s="66" t="str">
        <x:v>vértices</x:v>
      </x:c>
      <x:c r="H45" s="66" t="str">
        <x:v>Por polígono</x:v>
      </x:c>
      <x:c r="I45" s="66" t="str">
        <x:v>Sí</x:v>
      </x:c>
      <x:c r="J45" s="69" t="str">
        <x:v>Pendiente</x:v>
      </x:c>
      <x:c r="K45" s="70"/>
      <x:c r="L45" s="71" t="str">
        <x:v>Los límites administrativos oficiales pueden conservar geometrías curadas por separado.</x:v>
      </x:c>
      <x:c r="M45" s="68" t="str">
        <x:f>IF(J45="Aprobar",F45,IF(J45="Cambiar",K45,IF(J45="Eliminar","","Pendiente")))</x:f>
        <x:v>Pendiente</x:v>
      </x:c>
    </x:row>
  </x:sheetData>
  <x:conditionalFormatting sqref="J11:J45">
    <x:cfRule type="containsText" dxfId="0" priority="1" operator="containsText" text="Aprobar"/>
    <x:cfRule type="containsText" dxfId="1" priority="2" operator="containsText" text="Cambiar"/>
    <x:cfRule type="containsText" dxfId="2" priority="3" operator="containsText" text="Eliminar"/>
  </x:conditionalFormatting>
  <x:conditionalFormatting sqref="K11:K45">
    <x:cfRule type="expression" dxfId="3" priority="4">
      <x:formula>AND($J11="Cambiar",$K11="")</x:formula>
    </x:cfRule>
  </x:conditionalFormatting>
  <x:dataValidations count="3">
    <x:dataValidation type="list" sqref="J11:J45">
      <x:formula1>"Pendiente,Aprobar,Cambiar,Eliminar"</x:formula1>
    </x:dataValidation>
    <x:dataValidation type="list" sqref="E11:E45">
      <x:formula1>"Cuota visible,Protección técnica,Costo interno"</x:formula1>
    </x:dataValidation>
    <x:dataValidation type="list" sqref="I11:I45">
      <x:formula1>"No,Sí"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F8A7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22" hidden="0" customWidth="1"/>
    <x:col min="5" max="5" width="34" hidden="0" customWidth="1"/>
    <x:col min="6" max="6" width="34" hidden="0" customWidth="1"/>
    <x:col min="7" max="7" width="22" hidden="0" customWidth="1"/>
  </x:cols>
  <x:sheetData>
    <x:row r="2" ht="19.200000762939453" hidden="0" customHeight="1">
      <x:c r="A2" s="86" t="str">
        <x:v>Contrato de uso</x:v>
      </x:c>
      <x:c r="B2" s="54"/>
      <x:c r="C2" s="54"/>
      <x:c r="D2" s="54"/>
      <x:c r="E2" s="54"/>
      <x:c r="F2" s="54"/>
      <x:c r="G2" s="54"/>
    </x:row>
    <x:row r="3" ht="15" hidden="0" customHeight="1">
      <x:c r="A3" s="87" t="str">
        <x:v>Principios para convertir límites de producto en reglas técnicas consistentes.</x:v>
      </x:c>
      <x:c r="B3" s="87"/>
      <x:c r="C3" s="87"/>
      <x:c r="D3" s="87"/>
      <x:c r="E3" s="87"/>
      <x:c r="F3" s="87"/>
      <x:c r="G3" s="87"/>
    </x:row>
    <x:row r="4" ht="15" hidden="0" customHeight="1">
      <x:c r="A4" s="60"/>
      <x:c r="B4" s="60"/>
      <x:c r="C4" s="60"/>
      <x:c r="D4" s="60"/>
      <x:c r="E4" s="60"/>
      <x:c r="F4" s="60"/>
      <x:c r="G4" s="60"/>
    </x:row>
    <x:row r="5" ht="15" hidden="0" customHeight="1">
      <x:c r="A5" s="60"/>
      <x:c r="B5" s="60"/>
      <x:c r="C5" s="60"/>
      <x:c r="D5" s="60"/>
      <x:c r="E5" s="60"/>
      <x:c r="F5" s="60"/>
      <x:c r="G5" s="60"/>
    </x:row>
    <x:row r="6" ht="15" hidden="0" customHeight="1">
      <x:c r="A6" s="88" t="str">
        <x:v>Capa</x:v>
      </x:c>
      <x:c r="B6" s="89" t="str">
        <x:v>Qué controla</x:v>
      </x:c>
      <x:c r="C6" s="89" t="str">
        <x:v>Visible al usuario</x:v>
      </x:c>
      <x:c r="D6" s="89" t="str">
        <x:v>Admin exento</x:v>
      </x:c>
      <x:c r="E6" s="89" t="str">
        <x:v>Cómo se expresa</x:v>
      </x:c>
      <x:c r="F6" s="89" t="str">
        <x:v>Regla</x:v>
      </x:c>
      <x:c r="G6" s="90" t="str">
        <x:v>Notas</x:v>
      </x:c>
    </x:row>
    <x:row r="7" ht="39.599998474121094" hidden="0" customHeight="1">
      <x:c r="A7" s="61" t="str">
        <x:v>Plan Gratis</x:v>
      </x:c>
      <x:c r="B7" s="61" t="str">
        <x:v>Cuotas de producto</x:v>
      </x:c>
      <x:c r="C7" s="61" t="str">
        <x:v>Sí</x:v>
      </x:c>
      <x:c r="D7" s="61" t="str">
        <x:v>Sí</x:v>
      </x:c>
      <x:c r="E7" s="61" t="str">
        <x:v>Porcentaje y cantidad comprensible</x:v>
      </x:c>
      <x:c r="F7" s="61" t="str">
        <x:v>Puede bloquear nuevas operaciones al agotarse</x:v>
      </x:c>
      <x:c r="G7" s="61" t="str">
        <x:v>La lectura y exportación de datos existentes se mantienen.</x:v>
      </x:c>
    </x:row>
    <x:row r="8" ht="26.399999618530273" hidden="0" customHeight="1">
      <x:c r="A8" s="61" t="str">
        <x:v>Protección técnica</x:v>
      </x:c>
      <x:c r="B8" s="61" t="str">
        <x:v>Tamaño, frecuencia y concurrencia</x:v>
      </x:c>
      <x:c r="C8" s="61" t="str">
        <x:v>Solo cuando interviene</x:v>
      </x:c>
      <x:c r="D8" s="61" t="str">
        <x:v>No</x:v>
      </x:c>
      <x:c r="E8" s="61" t="str">
        <x:v>Mensaje específico del límite</x:v>
      </x:c>
      <x:c r="F8" s="61" t="str">
        <x:v>Se valida antes de ejecutar</x:v>
      </x:c>
      <x:c r="G8" s="61" t="str">
        <x:v>Protege infraestructura, privacidad y estabilidad.</x:v>
      </x:c>
    </x:row>
    <x:row r="9" ht="26.399999618530273" hidden="0" customHeight="1">
      <x:c r="A9" s="61" t="str">
        <x:v>Costo interno</x:v>
      </x:c>
      <x:c r="B9" s="61" t="str">
        <x:v>Gasto real por proveedores</x:v>
      </x:c>
      <x:c r="C9" s="61" t="str">
        <x:v>No</x:v>
      </x:c>
      <x:c r="D9" s="61" t="str">
        <x:v>Sí, pero se mide</x:v>
      </x:c>
      <x:c r="E9" s="61" t="str">
        <x:v>Microunidades y costo normalizado</x:v>
      </x:c>
      <x:c r="F9" s="61" t="str">
        <x:v>Sirve para alertas y calibración</x:v>
      </x:c>
      <x:c r="G9" s="61" t="str">
        <x:v>No se presenta como dinero al usuario.</x:v>
      </x:c>
    </x:row>
    <x:row r="10" ht="15" hidden="0" customHeight="1">
      <x:c r="A10" s="61"/>
      <x:c r="B10" s="61"/>
      <x:c r="C10" s="61"/>
      <x:c r="D10" s="61"/>
      <x:c r="E10" s="61"/>
      <x:c r="F10" s="61"/>
      <x:c r="G10" s="61"/>
    </x:row>
    <x:row r="11" ht="15" hidden="0" customHeight="1">
      <x:c r="A11" s="61"/>
      <x:c r="B11" s="61"/>
      <x:c r="C11" s="61"/>
      <x:c r="D11" s="61"/>
      <x:c r="E11" s="61"/>
      <x:c r="F11" s="61"/>
      <x:c r="G11" s="61"/>
    </x:row>
    <x:row r="12" ht="15" hidden="0" customHeight="1">
      <x:c r="A12" s="88" t="str">
        <x:v>Principio</x:v>
      </x:c>
      <x:c r="B12" s="89" t="str">
        <x:v>Decisión documentada</x:v>
      </x:c>
      <x:c r="C12" s="89" t="str">
        <x:v>Implicación</x:v>
      </x:c>
      <x:c r="D12" s="89" t="str">
        <x:v>Estado</x:v>
      </x:c>
      <x:c r="E12" s="89" t="str">
        <x:v>Corrección propuesta</x:v>
      </x:c>
      <x:c r="F12" s="89" t="str">
        <x:v>Notas de Pablo</x:v>
      </x:c>
      <x:c r="G12" s="90" t="str">
        <x:v>Responsable</x:v>
      </x:c>
    </x:row>
    <x:row r="13" ht="26.399999618530273" hidden="0" customHeight="1">
      <x:c r="A13" s="61" t="str">
        <x:v>Identidad del plan</x:v>
      </x:c>
      <x:c r="B13" s="61" t="str">
        <x:v>Todos los usuarios comienzan en Gratis.</x:v>
      </x:c>
      <x:c r="C13" s="61" t="str">
        <x:v>El plan no depende de user_type ni de créditos heredados.</x:v>
      </x:c>
      <x:c r="D13" s="65" t="str">
        <x:v>Pendiente</x:v>
      </x:c>
      <x:c r="E13" s="65"/>
      <x:c r="F13" s="65"/>
      <x:c r="G13" s="61" t="str">
        <x:v>Backend</x:v>
      </x:c>
    </x:row>
    <x:row r="14" ht="26.399999618530273" hidden="0" customHeight="1">
      <x:c r="A14" s="61" t="str">
        <x:v>Administrador</x:v>
      </x:c>
      <x:c r="B14" s="61" t="str">
        <x:v>El administrador no tiene cuotas comerciales.</x:v>
      </x:c>
      <x:c r="C14" s="61" t="str">
        <x:v>Su uso se registra y conserva protecciones técnicas.</x:v>
      </x:c>
      <x:c r="D14" s="65" t="str">
        <x:v>Pendiente</x:v>
      </x:c>
      <x:c r="E14" s="65"/>
      <x:c r="F14" s="65"/>
      <x:c r="G14" s="61" t="str">
        <x:v>Backend</x:v>
      </x:c>
    </x:row>
    <x:row r="15" ht="26.399999618530273" hidden="0" customHeight="1">
      <x:c r="A15" s="61" t="str">
        <x:v>Créditos heredados</x:v>
      </x:c>
      <x:c r="B15" s="61" t="str">
        <x:v>Dejan de ser la fuente de verdad.</x:v>
      </x:c>
      <x:c r="C15" s="61" t="str">
        <x:v>Permanecen temporalmente para compatibilidad y luego se retiran.</x:v>
      </x:c>
      <x:c r="D15" s="65" t="str">
        <x:v>Pendiente</x:v>
      </x:c>
      <x:c r="E15" s="65"/>
      <x:c r="F15" s="65"/>
      <x:c r="G15" s="61" t="str">
        <x:v>Backend</x:v>
      </x:c>
    </x:row>
    <x:row r="16" ht="26.399999618530273" hidden="0" customHeight="1">
      <x:c r="A16" s="61" t="str">
        <x:v>Memoria</x:v>
      </x:c>
      <x:c r="B16" s="61" t="str">
        <x:v>Solo indexa contenido asociado a un Espacio.</x:v>
      </x:c>
      <x:c r="C16" s="61" t="str">
        <x:v>El Codex Global y los elementos sueltos no consumen Memoria.</x:v>
      </x:c>
      <x:c r="D16" s="65" t="str">
        <x:v>Acordado</x:v>
      </x:c>
      <x:c r="E16" s="65"/>
      <x:c r="F16" s="65"/>
      <x:c r="G16" s="61" t="str">
        <x:v>Backend</x:v>
      </x:c>
    </x:row>
    <x:row r="17" ht="26.399999618530273" hidden="0" customHeight="1">
      <x:c r="A17" s="61" t="str">
        <x:v>Uso fallido</x:v>
      </x:c>
      <x:c r="B17" s="61" t="str">
        <x:v>No consume cuota si el trabajo no comenzó.</x:v>
      </x:c>
      <x:c r="C17" s="61" t="str">
        <x:v>Las operaciones costosas reservan y luego confirman consumo.</x:v>
      </x:c>
      <x:c r="D17" s="65" t="str">
        <x:v>Pendiente</x:v>
      </x:c>
      <x:c r="E17" s="65"/>
      <x:c r="F17" s="65"/>
      <x:c r="G17" s="61" t="str">
        <x:v>Backend</x:v>
      </x:c>
    </x:row>
    <x:row r="18" ht="15" hidden="0" customHeight="1">
      <x:c r="A18" s="61" t="str">
        <x:v>Reintentos</x:v>
      </x:c>
      <x:c r="B18" s="61" t="str">
        <x:v>Una solicitud debe cobrarse una vez.</x:v>
      </x:c>
      <x:c r="C18" s="61" t="str">
        <x:v>Cada operación lleva una clave de idempotencia.</x:v>
      </x:c>
      <x:c r="D18" s="65" t="str">
        <x:v>Pendiente</x:v>
      </x:c>
      <x:c r="E18" s="65"/>
      <x:c r="F18" s="65"/>
      <x:c r="G18" s="61" t="str">
        <x:v>Backend</x:v>
      </x:c>
    </x:row>
    <x:row r="19" ht="26.399999618530273" hidden="0" customHeight="1">
      <x:c r="A19" s="61" t="str">
        <x:v>Privacidad</x:v>
      </x:c>
      <x:c r="B19" s="61" t="str">
        <x:v>El usuario consulta únicamente su propio consumo.</x:v>
      </x:c>
      <x:c r="C19" s="61" t="str">
        <x:v>La medición no expone solicitudes ni datos sensibles.</x:v>
      </x:c>
      <x:c r="D19" s="65" t="str">
        <x:v>Pendiente</x:v>
      </x:c>
      <x:c r="E19" s="65"/>
      <x:c r="F19" s="65"/>
      <x:c r="G19" s="61" t="str">
        <x:v>Backend</x:v>
      </x:c>
    </x:row>
    <x:row r="20" ht="26.399999618530273" hidden="0" customHeight="1">
      <x:c r="A20" s="61" t="str">
        <x:v>Terminología</x:v>
      </x:c>
      <x:c r="B20" s="61" t="str">
        <x:v>La interfaz usa Memoria, Uso de IA y Funciones avanzadas.</x:v>
      </x:c>
      <x:c r="C20" s="61" t="str">
        <x:v>Tokens, dólares y nombres internos quedan en el backend.</x:v>
      </x:c>
      <x:c r="D20" s="65" t="str">
        <x:v>Pendiente</x:v>
      </x:c>
      <x:c r="E20" s="65"/>
      <x:c r="F20" s="65"/>
      <x:c r="G20" s="61" t="str">
        <x:v>Producto</x:v>
      </x:c>
    </x:row>
    <x:row r="21" ht="26.399999618530273" hidden="0" customHeight="1">
      <x:c r="A21" s="67" t="str">
        <x:v>Cambio de plan</x:v>
      </x:c>
      <x:c r="B21" s="67" t="str">
        <x:v>Los límites se versionan y se aplican por periodo.</x:v>
      </x:c>
      <x:c r="C21" s="67" t="str">
        <x:v>Un cambio no reescribe el consumo histórico.</x:v>
      </x:c>
      <x:c r="D21" s="71" t="str">
        <x:v>Pendiente</x:v>
      </x:c>
      <x:c r="E21" s="71"/>
      <x:c r="F21" s="71"/>
      <x:c r="G21" s="67" t="str">
        <x:v>Backend</x:v>
      </x:c>
    </x:row>
  </x:sheetData>
  <x:dataValidations count="1">
    <x:dataValidation type="list" sqref="D13:D21">
      <x:formula1>"Pendiente,Acordado,Cambiar,Eliminar"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63D4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5" hidden="0" customWidth="1"/>
  </x:cols>
  <x:sheetData>
    <x:row r="2" ht="19.200000762939453" hidden="0" customHeight="1">
      <x:c r="A2" s="86" t="str">
        <x:v>Protecciones de seguridad</x:v>
      </x:c>
      <x:c r="B2" s="54"/>
      <x:c r="C2" s="54"/>
      <x:c r="D2" s="54"/>
      <x:c r="E2" s="54"/>
      <x:c r="F2" s="54"/>
      <x:c r="G2" s="54"/>
      <x:c r="H2" s="54"/>
      <x:c r="I2" s="54"/>
    </x:row>
    <x:row r="3" ht="15" hidden="0" customHeight="1">
      <x:c r="A3" s="87" t="str">
        <x:v>Estas reglas protegen el sistema y pueden aplicar incluso cuando una cuenta no tiene cuotas comerciales.</x:v>
      </x:c>
      <x:c r="B3" s="87"/>
      <x:c r="C3" s="87"/>
      <x:c r="D3" s="87"/>
      <x:c r="E3" s="87"/>
      <x:c r="F3" s="87"/>
      <x:c r="G3" s="87"/>
      <x:c r="H3" s="87"/>
      <x:c r="I3" s="87"/>
    </x:row>
    <x:row r="4" ht="15" hidden="0" customHeight="1">
      <x:c r="A4" s="60"/>
      <x:c r="B4" s="60"/>
      <x:c r="C4" s="60"/>
      <x:c r="D4" s="60"/>
      <x:c r="E4" s="60"/>
      <x:c r="F4" s="60"/>
      <x:c r="G4" s="60"/>
      <x:c r="H4" s="60"/>
      <x:c r="I4" s="60"/>
    </x:row>
    <x:row r="5" ht="15" hidden="0" customHeight="1">
      <x:c r="A5" s="60"/>
      <x:c r="B5" s="60"/>
      <x:c r="C5" s="60"/>
      <x:c r="D5" s="60"/>
      <x:c r="E5" s="60"/>
      <x:c r="F5" s="60"/>
      <x:c r="G5" s="60"/>
      <x:c r="H5" s="60"/>
      <x:c r="I5" s="60"/>
    </x:row>
    <x:row r="6" ht="15" hidden="0" customHeight="1">
      <x:c r="A6" s="88" t="str">
        <x:v>Área</x:v>
      </x:c>
      <x:c r="B6" s="89" t="str">
        <x:v>Protección</x:v>
      </x:c>
      <x:c r="C6" s="89" t="str">
        <x:v>Propuesta</x:v>
      </x:c>
      <x:c r="D6" s="89" t="str">
        <x:v>Unidad</x:v>
      </x:c>
      <x:c r="E6" s="89" t="str">
        <x:v>Aplica al admin</x:v>
      </x:c>
      <x:c r="F6" s="89" t="str">
        <x:v>Prioridad</x:v>
      </x:c>
      <x:c r="G6" s="89" t="str">
        <x:v>Decisión</x:v>
      </x:c>
      <x:c r="H6" s="89" t="str">
        <x:v>Valor ajustado</x:v>
      </x:c>
      <x:c r="I6" s="90" t="str">
        <x:v>Notas</x:v>
      </x:c>
    </x:row>
    <x:row r="7" ht="15" hidden="0" customHeight="1">
      <x:c r="A7" s="61" t="str">
        <x:v>API</x:v>
      </x:c>
      <x:c r="B7" s="61" t="str">
        <x:v>Lecturas</x:v>
      </x:c>
      <x:c r="C7" s="61" t="n">
        <x:v>60</x:v>
      </x:c>
      <x:c r="D7" s="61" t="str">
        <x:v>por minuto</x:v>
      </x:c>
      <x:c r="E7" s="61" t="str">
        <x:v>Sí</x:v>
      </x:c>
      <x:c r="F7" s="61" t="str">
        <x:v>Alta</x:v>
      </x:c>
      <x:c r="G7" s="65" t="str">
        <x:v>Pendiente</x:v>
      </x:c>
      <x:c r="H7" s="65"/>
      <x:c r="I7" s="65" t="str">
        <x:v>Se aplica por usuario y, cuando corresponda, por IP.</x:v>
      </x:c>
    </x:row>
    <x:row r="8" ht="15" hidden="0" customHeight="1">
      <x:c r="A8" s="61" t="str">
        <x:v>API</x:v>
      </x:c>
      <x:c r="B8" s="61" t="str">
        <x:v>Escrituras</x:v>
      </x:c>
      <x:c r="C8" s="61" t="n">
        <x:v>20</x:v>
      </x:c>
      <x:c r="D8" s="61" t="str">
        <x:v>por minuto</x:v>
      </x:c>
      <x:c r="E8" s="61" t="str">
        <x:v>Sí</x:v>
      </x:c>
      <x:c r="F8" s="61" t="str">
        <x:v>Alta</x:v>
      </x:c>
      <x:c r="G8" s="65" t="str">
        <x:v>Pendiente</x:v>
      </x:c>
      <x:c r="H8" s="65"/>
      <x:c r="I8" s="65" t="str">
        <x:v>Incluye creación y actualización de registros.</x:v>
      </x:c>
    </x:row>
    <x:row r="9" ht="15" hidden="0" customHeight="1">
      <x:c r="A9" s="61" t="str">
        <x:v>Procesamiento</x:v>
      </x:c>
      <x:c r="B9" s="61" t="str">
        <x:v>Operaciones costosas</x:v>
      </x:c>
      <x:c r="C9" s="61" t="n">
        <x:v>5</x:v>
      </x:c>
      <x:c r="D9" s="61" t="str">
        <x:v>por minuto</x:v>
      </x:c>
      <x:c r="E9" s="61" t="str">
        <x:v>Sí</x:v>
      </x:c>
      <x:c r="F9" s="61" t="str">
        <x:v>Alta</x:v>
      </x:c>
      <x:c r="G9" s="65" t="str">
        <x:v>Pendiente</x:v>
      </x:c>
      <x:c r="H9" s="65"/>
      <x:c r="I9" s="65" t="str">
        <x:v>IA, OCR, extracción, transcripción e indexación.</x:v>
      </x:c>
    </x:row>
    <x:row r="10" ht="15" hidden="0" customHeight="1">
      <x:c r="A10" s="61" t="str">
        <x:v>Procesamiento</x:v>
      </x:c>
      <x:c r="B10" s="61" t="str">
        <x:v>Operaciones costosas concurrentes</x:v>
      </x:c>
      <x:c r="C10" s="61" t="n">
        <x:v>2</x:v>
      </x:c>
      <x:c r="D10" s="61" t="str">
        <x:v>simultáneas</x:v>
      </x:c>
      <x:c r="E10" s="61" t="str">
        <x:v>Sí</x:v>
      </x:c>
      <x:c r="F10" s="61" t="str">
        <x:v>Alta</x:v>
      </x:c>
      <x:c r="G10" s="65" t="str">
        <x:v>Pendiente</x:v>
      </x:c>
      <x:c r="H10" s="65"/>
      <x:c r="I10" s="65" t="str">
        <x:v>Se usa cola para las siguientes.</x:v>
      </x:c>
    </x:row>
    <x:row r="11" ht="26.399999618530273" hidden="0" customHeight="1">
      <x:c r="A11" s="61" t="str">
        <x:v>MCP</x:v>
      </x:c>
      <x:c r="B11" s="61" t="str">
        <x:v>Duración máxima de herramienta</x:v>
      </x:c>
      <x:c r="C11" s="61" t="n">
        <x:v>60</x:v>
      </x:c>
      <x:c r="D11" s="61" t="str">
        <x:v>segundos</x:v>
      </x:c>
      <x:c r="E11" s="61" t="str">
        <x:v>Sí</x:v>
      </x:c>
      <x:c r="F11" s="61" t="str">
        <x:v>Alta</x:v>
      </x:c>
      <x:c r="G11" s="65" t="str">
        <x:v>Pendiente</x:v>
      </x:c>
      <x:c r="H11" s="65"/>
      <x:c r="I11" s="65" t="str">
        <x:v>Las herramientas largas deben convertirse en trabajos consultables.</x:v>
      </x:c>
    </x:row>
    <x:row r="12" ht="15" hidden="0" customHeight="1">
      <x:c r="A12" s="61" t="str">
        <x:v>MCP</x:v>
      </x:c>
      <x:c r="B12" s="61" t="str">
        <x:v>Pasos por ejecución agentica</x:v>
      </x:c>
      <x:c r="C12" s="61" t="n">
        <x:v>8</x:v>
      </x:c>
      <x:c r="D12" s="61" t="str">
        <x:v>pasos</x:v>
      </x:c>
      <x:c r="E12" s="61" t="str">
        <x:v>Sí</x:v>
      </x:c>
      <x:c r="F12" s="61" t="str">
        <x:v>Alta</x:v>
      </x:c>
      <x:c r="G12" s="65" t="str">
        <x:v>Pendiente</x:v>
      </x:c>
      <x:c r="H12" s="65"/>
      <x:c r="I12" s="65" t="str">
        <x:v>Evita bucles de herramientas.</x:v>
      </x:c>
    </x:row>
    <x:row r="13" ht="15" hidden="0" customHeight="1">
      <x:c r="A13" s="61" t="str">
        <x:v>MCP</x:v>
      </x:c>
      <x:c r="B13" s="61" t="str">
        <x:v>Llamadas</x:v>
      </x:c>
      <x:c r="C13" s="61" t="n">
        <x:v>10</x:v>
      </x:c>
      <x:c r="D13" s="61" t="str">
        <x:v>por minuto</x:v>
      </x:c>
      <x:c r="E13" s="61" t="str">
        <x:v>Sí</x:v>
      </x:c>
      <x:c r="F13" s="61" t="str">
        <x:v>Alta</x:v>
      </x:c>
      <x:c r="G13" s="65" t="str">
        <x:v>Pendiente</x:v>
      </x:c>
      <x:c r="H13" s="65"/>
      <x:c r="I13" s="65" t="str">
        <x:v>Además de la cuota mensual ponderada.</x:v>
      </x:c>
    </x:row>
    <x:row r="14" ht="15" hidden="0" customHeight="1">
      <x:c r="A14" s="61" t="str">
        <x:v>Archivos</x:v>
      </x:c>
      <x:c r="B14" s="61" t="str">
        <x:v>Transcripción individual</x:v>
      </x:c>
      <x:c r="C14" s="61" t="n">
        <x:v>100</x:v>
      </x:c>
      <x:c r="D14" s="61" t="str">
        <x:v>MB</x:v>
      </x:c>
      <x:c r="E14" s="61" t="str">
        <x:v>Sí</x:v>
      </x:c>
      <x:c r="F14" s="61" t="str">
        <x:v>Alta</x:v>
      </x:c>
      <x:c r="G14" s="65" t="str">
        <x:v>Pendiente</x:v>
      </x:c>
      <x:c r="H14" s="65"/>
      <x:c r="I14" s="65" t="str">
        <x:v>Sustituye el máximo heredado de 500 MB.</x:v>
      </x:c>
    </x:row>
    <x:row r="15" ht="15" hidden="0" customHeight="1">
      <x:c r="A15" s="61" t="str">
        <x:v>Red</x:v>
      </x:c>
      <x:c r="B15" s="61" t="str">
        <x:v>Descarga de una fuente</x:v>
      </x:c>
      <x:c r="C15" s="61" t="n">
        <x:v>10</x:v>
      </x:c>
      <x:c r="D15" s="61" t="str">
        <x:v>MB</x:v>
      </x:c>
      <x:c r="E15" s="61" t="str">
        <x:v>Sí</x:v>
      </x:c>
      <x:c r="F15" s="61" t="str">
        <x:v>Alta</x:v>
      </x:c>
      <x:c r="G15" s="65" t="str">
        <x:v>Pendiente</x:v>
      </x:c>
      <x:c r="H15" s="65"/>
      <x:c r="I15" s="65" t="str">
        <x:v>Bloquear direcciones privadas y redirecciones no seguras.</x:v>
      </x:c>
    </x:row>
    <x:row r="16" ht="15" hidden="0" customHeight="1">
      <x:c r="A16" s="61" t="str">
        <x:v>OAuth MCP</x:v>
      </x:c>
      <x:c r="B16" s="61" t="str">
        <x:v>PKCE</x:v>
      </x:c>
      <x:c r="C16" s="61" t="n">
        <x:v>1</x:v>
      </x:c>
      <x:c r="D16" s="61" t="str">
        <x:v>S256 obligatorio</x:v>
      </x:c>
      <x:c r="E16" s="61" t="str">
        <x:v>Sí</x:v>
      </x:c>
      <x:c r="F16" s="61" t="str">
        <x:v>Crítica</x:v>
      </x:c>
      <x:c r="G16" s="65" t="str">
        <x:v>Pendiente</x:v>
      </x:c>
      <x:c r="H16" s="65"/>
      <x:c r="I16" s="65" t="str">
        <x:v>Retirar plain y conexiones sin desafío PKCE.</x:v>
      </x:c>
    </x:row>
    <x:row r="17" ht="15" hidden="0" customHeight="1">
      <x:c r="A17" s="61" t="str">
        <x:v>OAuth MCP</x:v>
      </x:c>
      <x:c r="B17" s="61" t="str">
        <x:v>Tokens almacenados</x:v>
      </x:c>
      <x:c r="C17" s="61" t="n">
        <x:v>1</x:v>
      </x:c>
      <x:c r="D17" s="61" t="str">
        <x:v>hash</x:v>
      </x:c>
      <x:c r="E17" s="61" t="str">
        <x:v>Sí</x:v>
      </x:c>
      <x:c r="F17" s="61" t="str">
        <x:v>Crítica</x:v>
      </x:c>
      <x:c r="G17" s="65" t="str">
        <x:v>Pendiente</x:v>
      </x:c>
      <x:c r="H17" s="65"/>
      <x:c r="I17" s="65" t="str">
        <x:v>No conservar tokens utilizables en texto plano.</x:v>
      </x:c>
    </x:row>
    <x:row r="18" ht="15" hidden="0" customHeight="1">
      <x:c r="A18" s="61" t="str">
        <x:v>Supabase</x:v>
      </x:c>
      <x:c r="B18" s="61" t="str">
        <x:v>RLS en tablas públicas</x:v>
      </x:c>
      <x:c r="C18" s="61" t="n">
        <x:v>1</x:v>
      </x:c>
      <x:c r="D18" s="61" t="str">
        <x:v>obligatorio</x:v>
      </x:c>
      <x:c r="E18" s="61" t="str">
        <x:v>Sí</x:v>
      </x:c>
      <x:c r="F18" s="61" t="str">
        <x:v>Crítica</x:v>
      </x:c>
      <x:c r="G18" s="65" t="str">
        <x:v>Pendiente</x:v>
      </x:c>
      <x:c r="H18" s="65"/>
      <x:c r="I18" s="65" t="str">
        <x:v>El asesor reportó tablas expuestas sin RLS.</x:v>
      </x:c>
    </x:row>
    <x:row r="19" ht="26.399999618530273" hidden="0" customHeight="1">
      <x:c r="A19" s="61" t="str">
        <x:v>Supabase</x:v>
      </x:c>
      <x:c r="B19" s="61" t="str">
        <x:v>Funciones privilegiadas anónimas</x:v>
      </x:c>
      <x:c r="C19" s="61" t="n">
        <x:v>0</x:v>
      </x:c>
      <x:c r="D19" s="61" t="str">
        <x:v>permitidas</x:v>
      </x:c>
      <x:c r="E19" s="61" t="str">
        <x:v>Sí</x:v>
      </x:c>
      <x:c r="F19" s="61" t="str">
        <x:v>Crítica</x:v>
      </x:c>
      <x:c r="G19" s="65" t="str">
        <x:v>Pendiente</x:v>
      </x:c>
      <x:c r="H19" s="65"/>
      <x:c r="I19" s="65" t="str">
        <x:v>Revocar EXECUTE a anon salvo una excepción documentada.</x:v>
      </x:c>
    </x:row>
    <x:row r="20" ht="15" hidden="0" customHeight="1">
      <x:c r="A20" s="67" t="str">
        <x:v>Archivos</x:v>
      </x:c>
      <x:c r="B20" s="67" t="str">
        <x:v>Contenido personal en buckets públicos</x:v>
      </x:c>
      <x:c r="C20" s="67" t="n">
        <x:v>0</x:v>
      </x:c>
      <x:c r="D20" s="67" t="str">
        <x:v>buckets</x:v>
      </x:c>
      <x:c r="E20" s="67" t="str">
        <x:v>Sí</x:v>
      </x:c>
      <x:c r="F20" s="67" t="str">
        <x:v>Crítica</x:v>
      </x:c>
      <x:c r="G20" s="71" t="str">
        <x:v>Pendiente</x:v>
      </x:c>
      <x:c r="H20" s="71"/>
      <x:c r="I20" s="71" t="str">
        <x:v>Servir archivos privados mediante enlaces temporales.</x:v>
      </x:c>
    </x:row>
  </x:sheetData>
  <x:dataValidations count="1">
    <x:dataValidation type="list" sqref="G7:G20">
      <x:formula1>"Pendiente,Aprobar,Cambiar,Eliminar"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6A9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16" hidden="0" customWidth="1"/>
    <x:col min="7" max="7" width="34" hidden="0" customWidth="1"/>
    <x:col min="8" max="8" width="34" hidden="0" customWidth="1"/>
  </x:cols>
  <x:sheetData>
    <x:row r="2" ht="19.200000762939453" hidden="0" customHeight="1">
      <x:c r="A2" s="86" t="str">
        <x:v>Plan de implementación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87" t="str">
        <x:v>Secuencia propuesta para introducir límites sin bloquear uso legítimo por falta de medición.</x:v>
      </x:c>
      <x:c r="B3" s="87"/>
      <x:c r="C3" s="87"/>
      <x:c r="D3" s="87"/>
      <x:c r="E3" s="87"/>
      <x:c r="F3" s="87"/>
      <x:c r="G3" s="87"/>
      <x:c r="H3" s="87"/>
    </x:row>
    <x:row r="4" ht="15" hidden="0" customHeight="1">
      <x:c r="A4" s="60"/>
      <x:c r="B4" s="60"/>
      <x:c r="C4" s="60"/>
      <x:c r="D4" s="60"/>
      <x:c r="E4" s="60"/>
      <x:c r="F4" s="60"/>
      <x:c r="G4" s="60"/>
      <x:c r="H4" s="60"/>
    </x:row>
    <x:row r="5" ht="15" hidden="0" customHeight="1">
      <x:c r="A5" s="60"/>
      <x:c r="B5" s="60"/>
      <x:c r="C5" s="60"/>
      <x:c r="D5" s="60"/>
      <x:c r="E5" s="60"/>
      <x:c r="F5" s="60"/>
      <x:c r="G5" s="60"/>
      <x:c r="H5" s="60"/>
    </x:row>
    <x:row r="6" ht="15" hidden="0" customHeight="1">
      <x:c r="A6" s="88" t="str">
        <x:v>Fase</x:v>
      </x:c>
      <x:c r="B6" s="89" t="str">
        <x:v>Objetivo</x:v>
      </x:c>
      <x:c r="C6" s="89" t="str">
        <x:v>Trabajo principal</x:v>
      </x:c>
      <x:c r="D6" s="89" t="str">
        <x:v>Salida</x:v>
      </x:c>
      <x:c r="E6" s="89" t="str">
        <x:v>Criterio de cierre</x:v>
      </x:c>
      <x:c r="F6" s="89" t="str">
        <x:v>Estado</x:v>
      </x:c>
      <x:c r="G6" s="89" t="str">
        <x:v>Correcciones</x:v>
      </x:c>
      <x:c r="H6" s="90" t="str">
        <x:v>Notas</x:v>
      </x:c>
    </x:row>
    <x:row r="7" ht="26.399999618530273" hidden="0" customHeight="1">
      <x:c r="A7" s="61" t="str">
        <x:v>0. Seguridad</x:v>
      </x:c>
      <x:c r="B7" s="61" t="str">
        <x:v>Cerrar rutas de abuso antes de ampliar acceso.</x:v>
      </x:c>
      <x:c r="C7" s="61" t="str">
        <x:v>RLS, funciones privilegiadas, OAuth MCP, buckets, carga y frecuencia.</x:v>
      </x:c>
      <x:c r="D7" s="61" t="str">
        <x:v>Superficie de acceso endurecida.</x:v>
      </x:c>
      <x:c r="E7" s="61" t="str">
        <x:v>Hallazgos críticos resueltos o con excepción documentada.</x:v>
      </x:c>
      <x:c r="F7" s="65" t="str">
        <x:v>Pendiente</x:v>
      </x:c>
      <x:c r="G7" s="65"/>
      <x:c r="H7" s="65"/>
    </x:row>
    <x:row r="8" ht="26.399999618530273" hidden="0" customHeight="1">
      <x:c r="A8" s="61" t="str">
        <x:v>1. Contrato</x:v>
      </x:c>
      <x:c r="B8" s="61" t="str">
        <x:v>Definir una sola fuente de verdad.</x:v>
      </x:c>
      <x:c r="C8" s="61" t="str">
        <x:v>Crear plan Gratis, claves canónicas, periodos, reglas del admin y compatibilidad.</x:v>
      </x:c>
      <x:c r="D8" s="61" t="str">
        <x:v>Contrato versionado.</x:v>
      </x:c>
      <x:c r="E8" s="61" t="str">
        <x:v>Todas las métricas tienen unidad, periodo y comportamiento.</x:v>
      </x:c>
      <x:c r="F8" s="65" t="str">
        <x:v>Pendiente</x:v>
      </x:c>
      <x:c r="G8" s="65"/>
      <x:c r="H8" s="65"/>
    </x:row>
    <x:row r="9" ht="26.399999618530273" hidden="0" customHeight="1">
      <x:c r="A9" s="61" t="str">
        <x:v>2. Medición</x:v>
      </x:c>
      <x:c r="B9" s="61" t="str">
        <x:v>Registrar consumo real sin bloquear.</x:v>
      </x:c>
      <x:c r="C9" s="61" t="str">
        <x:v>Contadores atómicos, eventos, costo interno e idempotencia en API, MCP y workers.</x:v>
      </x:c>
      <x:c r="D9" s="61" t="str">
        <x:v>Panel interno de consumo.</x:v>
      </x:c>
      <x:c r="E9" s="61" t="str">
        <x:v>IA, Memoria, archivos y MCP producen eventos conciliables.</x:v>
      </x:c>
      <x:c r="F9" s="65" t="str">
        <x:v>Pendiente</x:v>
      </x:c>
      <x:c r="G9" s="65"/>
      <x:c r="H9" s="65"/>
    </x:row>
    <x:row r="10" ht="26.399999618530273" hidden="0" customHeight="1">
      <x:c r="A10" s="61" t="str">
        <x:v>3. Observación</x:v>
      </x:c>
      <x:c r="B10" s="61" t="str">
        <x:v>Calibrar con datos reales.</x:v>
      </x:c>
      <x:c r="C10" s="61" t="str">
        <x:v>Operar entre 14 y 30 días en modo sombra y medir percentiles y costos.</x:v>
      </x:c>
      <x:c r="D10" s="61" t="str">
        <x:v>Informe de calibración.</x:v>
      </x:c>
      <x:c r="E10" s="61" t="str">
        <x:v>Límites revisados con consumo medido.</x:v>
      </x:c>
      <x:c r="F10" s="65" t="str">
        <x:v>Pendiente</x:v>
      </x:c>
      <x:c r="G10" s="65"/>
      <x:c r="H10" s="65"/>
    </x:row>
    <x:row r="11" ht="26.399999618530273" hidden="0" customHeight="1">
      <x:c r="A11" s="61" t="str">
        <x:v>4. Avisos</x:v>
      </x:c>
      <x:c r="B11" s="61" t="str">
        <x:v>Preparar al usuario antes del bloqueo.</x:v>
      </x:c>
      <x:c r="C11" s="61" t="str">
        <x:v>Avisos al 70%, 90% y 100%, resumen de uso y acciones disponibles.</x:v>
      </x:c>
      <x:c r="D11" s="61" t="str">
        <x:v>Experiencia de cuotas visible.</x:v>
      </x:c>
      <x:c r="E11" s="61" t="str">
        <x:v>Mensajes explican recurso, periodo y siguiente acción.</x:v>
      </x:c>
      <x:c r="F11" s="65" t="str">
        <x:v>Pendiente</x:v>
      </x:c>
      <x:c r="G11" s="65"/>
      <x:c r="H11" s="65"/>
    </x:row>
    <x:row r="12" ht="26.399999618530273" hidden="0" customHeight="1">
      <x:c r="A12" s="61" t="str">
        <x:v>5. Aplicación</x:v>
      </x:c>
      <x:c r="B12" s="61" t="str">
        <x:v>Activar el Plan Gratis.</x:v>
      </x:c>
      <x:c r="C12" s="61" t="str">
        <x:v>Reservar, confirmar o liberar consumo y aplicar límites por recurso.</x:v>
      </x:c>
      <x:c r="D12" s="61" t="str">
        <x:v>Cuotas activas.</x:v>
      </x:c>
      <x:c r="E12" s="61" t="str">
        <x:v>La lectura y portabilidad permanecen disponibles al agotarse una cuota.</x:v>
      </x:c>
      <x:c r="F12" s="65" t="str">
        <x:v>Pendiente</x:v>
      </x:c>
      <x:c r="G12" s="65"/>
      <x:c r="H12" s="65"/>
    </x:row>
    <x:row r="13" ht="15" hidden="0" customHeight="1">
      <x:c r="A13" s="60"/>
      <x:c r="B13" s="60"/>
      <x:c r="C13" s="60"/>
      <x:c r="D13" s="60"/>
      <x:c r="E13" s="60"/>
      <x:c r="F13" s="60"/>
      <x:c r="G13" s="60"/>
      <x:c r="H13" s="60"/>
    </x:row>
    <x:row r="14" ht="15" hidden="0" customHeight="1">
      <x:c r="A14" s="60"/>
      <x:c r="B14" s="60"/>
      <x:c r="C14" s="60"/>
      <x:c r="D14" s="60"/>
      <x:c r="E14" s="60"/>
      <x:c r="F14" s="60"/>
      <x:c r="G14" s="60"/>
      <x:c r="H14" s="60"/>
    </x:row>
    <x:row r="15" ht="15" hidden="0" customHeight="1">
      <x:c r="A15" s="88" t="str">
        <x:v>Componente</x:v>
      </x:c>
      <x:c r="B15" s="89" t="str">
        <x:v>Cambio propuesto</x:v>
      </x:c>
      <x:c r="C15" s="89" t="str">
        <x:v>Datos</x:v>
      </x:c>
      <x:c r="D15" s="89" t="str">
        <x:v>Regla de acceso</x:v>
      </x:c>
      <x:c r="E15" s="89" t="str">
        <x:v>Migración</x:v>
      </x:c>
      <x:c r="F15" s="90" t="str">
        <x:v>Notas</x:v>
      </x:c>
      <x:c r="G15" s="60"/>
      <x:c r="H15" s="60"/>
    </x:row>
    <x:row r="16" ht="39.599998474121094" hidden="0" customHeight="1">
      <x:c r="A16" s="61" t="str">
        <x:v>plans</x:v>
      </x:c>
      <x:c r="B16" s="61" t="str">
        <x:v>Nueva tabla con límites versionados por plan.</x:v>
      </x:c>
      <x:c r="C16" s="61" t="str">
        <x:v>plan_key, version, limits, active_from</x:v>
      </x:c>
      <x:c r="D16" s="61" t="str">
        <x:v>Lectura autenticada; escritura administrativa.</x:v>
      </x:c>
      <x:c r="E16" s="61" t="str">
        <x:v>Crear Free v1.</x:v>
      </x:c>
      <x:c r="F16" s="61" t="str">
        <x:v>Las claves técnicas deben permanecer canónicas.</x:v>
      </x:c>
      <x:c r="G16" s="60"/>
      <x:c r="H16" s="60"/>
    </x:row>
    <x:row r="17" ht="26.399999618530273" hidden="0" customHeight="1">
      <x:c r="A17" s="61" t="str">
        <x:v>profiles</x:v>
      </x:c>
      <x:c r="B17" s="61" t="str">
        <x:v>Agregar plan_key y excepciones controladas.</x:v>
      </x:c>
      <x:c r="C17" s="61" t="str">
        <x:v>plan_key, entitlement_overrides</x:v>
      </x:c>
      <x:c r="D17" s="61" t="str">
        <x:v>El usuario puede leer su plan; no cambiarlo.</x:v>
      </x:c>
      <x:c r="E17" s="61" t="str">
        <x:v>Todos comienzan en free.</x:v>
      </x:c>
      <x:c r="F17" s="61" t="str">
        <x:v>role=admin concede exención comercial.</x:v>
      </x:c>
      <x:c r="G17" s="60"/>
      <x:c r="H17" s="60"/>
    </x:row>
    <x:row r="18" ht="39.599998474121094" hidden="0" customHeight="1">
      <x:c r="A18" s="61" t="str">
        <x:v>usage_counters</x:v>
      </x:c>
      <x:c r="B18" s="61" t="str">
        <x:v>Nueva tabla de contadores por ventana.</x:v>
      </x:c>
      <x:c r="C18" s="61" t="str">
        <x:v>user_id, metric_key, window, used, reserved</x:v>
      </x:c>
      <x:c r="D18" s="61" t="str">
        <x:v>Cambios solo mediante RPC de servicio.</x:v>
      </x:c>
      <x:c r="E18" s="61" t="str">
        <x:v>Comienza en cero.</x:v>
      </x:c>
      <x:c r="F18" s="61" t="str">
        <x:v>Actualización atómica para evitar carreras.</x:v>
      </x:c>
      <x:c r="G18" s="60"/>
      <x:c r="H18" s="60"/>
    </x:row>
    <x:row r="19" ht="39.599998474121094" hidden="0" customHeight="1">
      <x:c r="A19" s="61" t="str">
        <x:v>usage_logs</x:v>
      </x:c>
      <x:c r="B19" s="61" t="str">
        <x:v>Reformar el registro heredado como libro de eventos.</x:v>
      </x:c>
      <x:c r="C19" s="61" t="str">
        <x:v>request_id, metric_key, quantity, cost, source, result</x:v>
      </x:c>
      <x:c r="D19" s="61" t="str">
        <x:v>Usuario consulta un resumen seguro; detalle administrativo.</x:v>
      </x:c>
      <x:c r="E19" s="61" t="str">
        <x:v>Conservar histórico útil.</x:v>
      </x:c>
      <x:c r="F19" s="61" t="str">
        <x:v>Retirar parámetros sensibles innecesarios.</x:v>
      </x:c>
      <x:c r="G19" s="60"/>
      <x:c r="H19" s="60"/>
    </x:row>
    <x:row r="20" ht="39.599998474121094" hidden="0" customHeight="1">
      <x:c r="A20" s="67" t="str">
        <x:v>credits</x:v>
      </x:c>
      <x:c r="B20" s="67" t="str">
        <x:v>Modo de compatibilidad y retiro posterior.</x:v>
      </x:c>
      <x:c r="C20" s="67" t="str">
        <x:v>Valor heredado sin autoridad sobre cuotas.</x:v>
      </x:c>
      <x:c r="D20" s="67" t="str">
        <x:v>Solo lectura mientras exista.</x:v>
      </x:c>
      <x:c r="E20" s="67" t="str">
        <x:v>No convertir a dinero.</x:v>
      </x:c>
      <x:c r="F20" s="67" t="str">
        <x:v>Eliminar cuando API y front dejen de depender de él.</x:v>
      </x:c>
      <x:c r="G20" s="66"/>
      <x:c r="H20" s="66"/>
    </x:row>
  </x:sheetData>
  <x:dataValidations count="1">
    <x:dataValidation type="list" sqref="F7:F12">
      <x:formula1>"Pendiente,Aprobado,En curso,Bloqueado,Eliminar"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F746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18" hidden="0" customWidth="1"/>
    <x:col min="5" max="5" width="14" hidden="0" customWidth="1"/>
    <x:col min="6" max="6" width="62" hidden="0" customWidth="1"/>
    <x:col min="7" max="7" width="48" hidden="0" customWidth="1"/>
  </x:cols>
  <x:sheetData>
    <x:row r="2" ht="19.200000762939453" hidden="0" customHeight="1">
      <x:c r="A2" s="86" t="str">
        <x:v>Referencias y estado actual</x:v>
      </x:c>
      <x:c r="B2" s="54"/>
      <x:c r="C2" s="54"/>
      <x:c r="D2" s="54"/>
      <x:c r="E2" s="54"/>
      <x:c r="F2" s="54"/>
      <x:c r="G2" s="54"/>
    </x:row>
    <x:row r="3" ht="15" hidden="0" customHeight="1">
      <x:c r="A3" s="87" t="str">
        <x:v>Fuentes documentadas y observaciones medidas antes de implementar el nuevo sistema.</x:v>
      </x:c>
      <x:c r="B3" s="87"/>
      <x:c r="C3" s="87"/>
      <x:c r="D3" s="87"/>
      <x:c r="E3" s="87"/>
      <x:c r="F3" s="87"/>
      <x:c r="G3" s="87"/>
    </x:row>
    <x:row r="4" ht="15" hidden="0" customHeight="1">
      <x:c r="A4" s="60"/>
      <x:c r="B4" s="60"/>
      <x:c r="C4" s="60"/>
      <x:c r="D4" s="60"/>
      <x:c r="E4" s="60"/>
      <x:c r="F4" s="60"/>
      <x:c r="G4" s="60"/>
    </x:row>
    <x:row r="5" ht="15" hidden="0" customHeight="1">
      <x:c r="A5" s="60"/>
      <x:c r="B5" s="60"/>
      <x:c r="C5" s="60"/>
      <x:c r="D5" s="60"/>
      <x:c r="E5" s="60"/>
      <x:c r="F5" s="60"/>
      <x:c r="G5" s="60"/>
    </x:row>
    <x:row r="6" ht="15" hidden="0" customHeight="1">
      <x:c r="A6" s="88" t="str">
        <x:v>Tema</x:v>
      </x:c>
      <x:c r="B6" s="89" t="str">
        <x:v>Observación</x:v>
      </x:c>
      <x:c r="C6" s="89" t="str">
        <x:v>Valor medido</x:v>
      </x:c>
      <x:c r="D6" s="89" t="str">
        <x:v>Unidad</x:v>
      </x:c>
      <x:c r="E6" s="89" t="str">
        <x:v>Fecha</x:v>
      </x:c>
      <x:c r="F6" s="89" t="str">
        <x:v>Fuente</x:v>
      </x:c>
      <x:c r="G6" s="90" t="str">
        <x:v>Implicación</x:v>
      </x:c>
    </x:row>
    <x:row r="7" ht="26.399999618530273" hidden="0" customHeight="1">
      <x:c r="A7" s="61" t="str">
        <x:v>Supabase Free</x:v>
      </x:c>
      <x:c r="B7" s="61" t="str">
        <x:v>Base de datos incluida</x:v>
      </x:c>
      <x:c r="C7" s="91" t="n">
        <x:v>500</x:v>
      </x:c>
      <x:c r="D7" s="61" t="str">
        <x:v>MB</x:v>
      </x:c>
      <x:c r="E7" s="61" t="str">
        <x:v>2026-09-12</x:v>
      </x:c>
      <x:c r="F7" s="61" t="str">
        <x:v>https://supabase.com/pricing</x:v>
      </x:c>
      <x:c r="G7" s="61" t="str">
        <x:v>La cuota del proveedor aplica al proyecto completo, no a cada usuario.</x:v>
      </x:c>
    </x:row>
    <x:row r="8" ht="15" hidden="0" customHeight="1">
      <x:c r="A8" s="61" t="str">
        <x:v>Supabase Free</x:v>
      </x:c>
      <x:c r="B8" s="61" t="str">
        <x:v>Almacenamiento incluido</x:v>
      </x:c>
      <x:c r="C8" s="91" t="n">
        <x:v>1</x:v>
      </x:c>
      <x:c r="D8" s="61" t="str">
        <x:v>GB</x:v>
      </x:c>
      <x:c r="E8" s="61" t="str">
        <x:v>2026-09-12</x:v>
      </x:c>
      <x:c r="F8" s="61" t="str">
        <x:v>https://supabase.com/pricing</x:v>
      </x:c>
      <x:c r="G8" s="61" t="str">
        <x:v>Los límites de Pulzos deben proteger el presupuesto compartido.</x:v>
      </x:c>
    </x:row>
    <x:row r="9" ht="26.399999618530273" hidden="0" customHeight="1">
      <x:c r="A9" s="61" t="str">
        <x:v>Supabase</x:v>
      </x:c>
      <x:c r="B9" s="61" t="str">
        <x:v>Archivo máximo documentado en Free</x:v>
      </x:c>
      <x:c r="C9" s="91" t="n">
        <x:v>50</x:v>
      </x:c>
      <x:c r="D9" s="61" t="str">
        <x:v>MB</x:v>
      </x:c>
      <x:c r="E9" s="61" t="str">
        <x:v>2026-09-12</x:v>
      </x:c>
      <x:c r="F9" s="61" t="str">
        <x:v>https://supabase.com/pricing</x:v>
      </x:c>
      <x:c r="G9" s="61" t="str">
        <x:v>Pulzos puede imponer máximos menores según el tipo de trabajo.</x:v>
      </x:c>
    </x:row>
    <x:row r="10" ht="15" hidden="0" customHeight="1">
      <x:c r="A10" s="61" t="str">
        <x:v>Base actual</x:v>
      </x:c>
      <x:c r="B10" s="61" t="str">
        <x:v>Tabla embeddings_index</x:v>
      </x:c>
      <x:c r="C10" s="91" t="n">
        <x:v>584</x:v>
      </x:c>
      <x:c r="D10" s="61" t="str">
        <x:v>MB aprox.</x:v>
      </x:c>
      <x:c r="E10" s="61" t="str">
        <x:v>2026-09-12</x:v>
      </x:c>
      <x:c r="F10" s="61" t="str">
        <x:v>Inspección de Supabase</x:v>
      </x:c>
      <x:c r="G10" s="61" t="str">
        <x:v>La Memoria ya representa una parte importante de la base.</x:v>
      </x:c>
    </x:row>
    <x:row r="11" ht="15" hidden="0" customHeight="1">
      <x:c r="A11" s="61" t="str">
        <x:v>Archivos actuales</x:v>
      </x:c>
      <x:c r="B11" s="61" t="str">
        <x:v>Archivos aproximados en buckets revisados</x:v>
      </x:c>
      <x:c r="C11" s="91" t="n">
        <x:v>818</x:v>
      </x:c>
      <x:c r="D11" s="61" t="str">
        <x:v>MB aprox.</x:v>
      </x:c>
      <x:c r="E11" s="61" t="str">
        <x:v>2026-09-12</x:v>
      </x:c>
      <x:c r="F11" s="61" t="str">
        <x:v>Inspección de Supabase</x:v>
      </x:c>
      <x:c r="G11" s="61" t="str">
        <x:v>Conviene medir bytes reales por propietario.</x:v>
      </x:c>
    </x:row>
    <x:row r="12" ht="26.399999618530273" hidden="0" customHeight="1">
      <x:c r="A12" s="61" t="str">
        <x:v>Uso heredado</x:v>
      </x:c>
      <x:c r="B12" s="61" t="str">
        <x:v>Eventos en usage_logs</x:v>
      </x:c>
      <x:c r="C12" s="91" t="n">
        <x:v>746</x:v>
      </x:c>
      <x:c r="D12" s="61" t="str">
        <x:v>eventos</x:v>
      </x:c>
      <x:c r="E12" s="61" t="str">
        <x:v>2026-09-12</x:v>
      </x:c>
      <x:c r="F12" s="61" t="str">
        <x:v>Inspección de Supabase</x:v>
      </x:c>
      <x:c r="G12" s="61" t="str">
        <x:v>El último evento registrado fue 2026-02-24; la cobertura actual es incompleta.</x:v>
      </x:c>
    </x:row>
    <x:row r="13" ht="26.399999618530273" hidden="0" customHeight="1">
      <x:c r="A13" s="61" t="str">
        <x:v>Seguridad</x:v>
      </x:c>
      <x:c r="B13" s="61" t="str">
        <x:v>Tablas públicas sin RLS reportadas</x:v>
      </x:c>
      <x:c r="C13" s="91" t="n">
        <x:v>2</x:v>
      </x:c>
      <x:c r="D13" s="61" t="str">
        <x:v>tablas</x:v>
      </x:c>
      <x:c r="E13" s="61" t="str">
        <x:v>2026-09-12</x:v>
      </x:c>
      <x:c r="F13" s="61" t="str">
        <x:v>https://supabase.com/docs/guides/database/database-linter?lint=0013_rls_disabled_in_public</x:v>
      </x:c>
      <x:c r="G13" s="61" t="str">
        <x:v>Resolver antes de ampliar el acceso gratuito.</x:v>
      </x:c>
    </x:row>
    <x:row r="14" ht="26.399999618530273" hidden="0" customHeight="1">
      <x:c r="A14" s="61" t="str">
        <x:v>Seguridad</x:v>
      </x:c>
      <x:c r="B14" s="61" t="str">
        <x:v>Funciones SECURITY DEFINER anónimas</x:v>
      </x:c>
      <x:c r="C14" s="91" t="n">
        <x:v>19</x:v>
      </x:c>
      <x:c r="D14" s="61" t="str">
        <x:v>funciones</x:v>
      </x:c>
      <x:c r="E14" s="61" t="str">
        <x:v>2026-09-12</x:v>
      </x:c>
      <x:c r="F14" s="61" t="str">
        <x:v>https://supabase.com/docs/guides/database/database-linter?lint=0028_anon_security_definer_function_executable</x:v>
      </x:c>
      <x:c r="G14" s="61" t="str">
        <x:v>Revisar y revocar ejecución anónima salvo excepciones documentadas.</x:v>
      </x:c>
    </x:row>
    <x:row r="15" ht="15" hidden="0" customHeight="1">
      <x:c r="A15" s="61" t="str">
        <x:v>Contrato actual</x:v>
      </x:c>
      <x:c r="B15" s="61" t="str">
        <x:v>Créditos como fuente de verdad</x:v>
      </x:c>
      <x:c r="C15" s="91" t="n">
        <x:v>1</x:v>
      </x:c>
      <x:c r="D15" s="61" t="str">
        <x:v>sistema heredado</x:v>
      </x:c>
      <x:c r="E15" s="61" t="str">
        <x:v>2026-09-12</x:v>
      </x:c>
      <x:c r="F15" s="61" t="str">
        <x:v>Inspección de ExtractorW</x:v>
      </x:c>
      <x:c r="G15" s="61" t="str">
        <x:v>El significado y débito varían entre rutas; se propone sustituirlos.</x:v>
      </x:c>
    </x:row>
    <x:row r="16" ht="26.399999618530273" hidden="0" customHeight="1">
      <x:c r="A16" s="61" t="str">
        <x:v>MCP actual</x:v>
      </x:c>
      <x:c r="B16" s="61" t="str">
        <x:v>Cuota central</x:v>
      </x:c>
      <x:c r="C16" s="91" t="n">
        <x:v>0</x:v>
      </x:c>
      <x:c r="D16" s="61" t="str">
        <x:v>controles</x:v>
      </x:c>
      <x:c r="E16" s="61" t="str">
        <x:v>2026-09-12</x:v>
      </x:c>
      <x:c r="F16" s="61" t="str">
        <x:v>Inspección de ExtractorW</x:v>
      </x:c>
      <x:c r="G16" s="61" t="str">
        <x:v>Las herramientas autenticadas requieren medición y límites ponderados.</x:v>
      </x:c>
    </x:row>
    <x:row r="17" ht="15" hidden="0" customHeight="1">
      <x:c r="A17" s="67" t="str">
        <x:v>Memoria actual</x:v>
      </x:c>
      <x:c r="B17" s="67" t="str">
        <x:v>Codex Global indexado</x:v>
      </x:c>
      <x:c r="C17" s="92" t="n">
        <x:v>0</x:v>
      </x:c>
      <x:c r="D17" s="67" t="str">
        <x:v>elementos</x:v>
      </x:c>
      <x:c r="E17" s="67" t="str">
        <x:v>2026-09-12</x:v>
      </x:c>
      <x:c r="F17" s="67" t="str">
        <x:v>Contrato acordado</x:v>
      </x:c>
      <x:c r="G17" s="67" t="str">
        <x:v>Solo el contenido asociado a Espacios consume Memoria.</x:v>
      </x:c>
    </x:row>
  </x:sheetData>
  <x:pageMargins left="0.7" right="0.7" top="0.75" bottom="0.75" header="0.3" footer="0.3"/>
</x:worksheet>
</file>