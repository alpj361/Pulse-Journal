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cbbd9f5e440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ímites" sheetId="1" r:id="R932c249398ff48f8"/>
    <x:sheet xmlns:r="http://schemas.openxmlformats.org/officeDocument/2006/relationships" name="Contrato" sheetId="2" r:id="Rdf6b8a7111834a3b"/>
    <x:sheet xmlns:r="http://schemas.openxmlformats.org/officeDocument/2006/relationships" name="Seguridad" sheetId="3" r:id="Rd19f557407da4d52"/>
    <x:sheet xmlns:r="http://schemas.openxmlformats.org/officeDocument/2006/relationships" name="Implementación" sheetId="4" r:id="Rdf685774e44448cf"/>
    <x:sheet xmlns:r="http://schemas.openxmlformats.org/officeDocument/2006/relationships" name="Referencias" sheetId="5" r:id="Rda92fd73431e4a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##"/>
  </x:numFmts>
  <x:fonts count="8">
    <x:font>
      <x:sz val="11"/>
      <x:name val="Carlito"/>
    </x:font>
    <x:font>
      <x:b/>
      <x:sz val="16"/>
      <x:color rgb="FF23211D"/>
      <x:name val="Arial"/>
    </x:font>
    <x:font>
      <x:i/>
      <x:sz val="10"/>
      <x:color rgb="FF6F746F"/>
      <x:name val="Arial"/>
    </x:font>
    <x:font>
      <x:b/>
      <x:sz val="10"/>
      <x:color rgb="FF1F5B45"/>
      <x:name val="Arial"/>
    </x:font>
    <x:font>
      <x:b/>
      <x:sz val="14"/>
      <x:color rgb="FF23211D"/>
      <x:name val="Arial"/>
    </x:font>
    <x:font>
      <x:b/>
      <x:sz val="10"/>
      <x:color rgb="FFFFFFFF"/>
      <x:name val="Arial"/>
    </x:font>
    <x:font>
      <x:sz val="11"/>
      <x:name val="Arial"/>
    </x:font>
    <x:font>
      <x:sz val="10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E5F0EA"/>
      </x:patternFill>
    </x:fill>
    <x:fill>
      <x:patternFill patternType="solid">
        <x:fgColor rgb="FF1F5B45"/>
      </x:patternFill>
    </x:fill>
    <x:fill>
      <x:patternFill patternType="solid">
        <x:fgColor rgb="FFFFF2CC"/>
      </x:patternFill>
    </x:fill>
    <x:fill>
      <x:patternFill patternType="solid">
        <x:fgColor rgb="FF1F5B45"/>
      </x:patternFill>
    </x:fill>
    <x:fill>
      <x:patternFill patternType="solid">
        <x:fgColor rgb="FFFFF2CC"/>
      </x:patternFill>
    </x:fill>
    <x:fill>
      <x:patternFill patternType="solid">
        <x:fgColor rgb="FFEEF4F1"/>
      </x:patternFill>
    </x:fill>
    <x:fill>
      <x:patternFill patternType="solid">
        <x:fgColor rgb="FFF2F2F2"/>
      </x:patternFill>
    </x:fill>
    <x:fill>
      <x:patternFill patternType="solid">
        <x:fgColor rgb="FFF7F9F7"/>
      </x:patternFill>
    </x:fill>
    <x:fill>
      <x:patternFill patternType="solid">
        <x:fgColor rgb="FFE2F0D9"/>
      </x:patternFill>
    </x:fill>
  </x:fills>
  <x:borders count="10">
    <x:border/>
    <x:border>
      <x:bottom style="thin">
        <x:color rgb="FFD9DDD7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D9DDD7"/>
      </x:top>
      <x:bottom style="thin">
        <x:color rgb="FFD9DDD7"/>
      </x:bottom>
    </x:border>
    <x:border>
      <x:top style="thin">
        <x:color rgb="FFD9DDD7"/>
      </x:top>
    </x:border>
    <x:border>
      <x:right style="thin">
        <x:color rgb="FFFFFFFF"/>
      </x:right>
      <x:top style="thin">
        <x:color rgb="FFD9DDD7"/>
      </x:top>
      <x:bottom style="thin">
        <x:color rgb="FFD9DDD7"/>
      </x:bottom>
    </x:border>
    <x:border>
      <x:left style="thin">
        <x:color rgb="FFFFFFFF"/>
      </x:left>
      <x:right style="thin">
        <x:color rgb="FFFFFFFF"/>
      </x:right>
      <x:top style="thin">
        <x:color rgb="FFD9DDD7"/>
      </x:top>
      <x:bottom style="thin">
        <x:color rgb="FFD9DDD7"/>
      </x:bottom>
    </x:border>
    <x:border>
      <x:left style="thin">
        <x:color rgb="FFFFFFFF"/>
      </x:left>
      <x:top style="thin">
        <x:color rgb="FFD9DDD7"/>
      </x:top>
      <x:bottom style="thin">
        <x:color rgb="FFD9DDD7"/>
      </x:bottom>
    </x:border>
  </x:borders>
  <x:cellStyleXfs count="1">
    <x:xf numFmtId="0" fontId="0" fillId="0" borderId="0"/>
  </x:cellStyleXfs>
  <x:cellXfs count="17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201" fontId="0" fillId="0" borderId="0" xfId="0" applyNumberFormat="1" applyFont="1" applyFill="1" applyBorder="1"/>
    <x:xf numFmtId="201" fontId="0" fillId="4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</x:xf>
    <x:xf numFmtId="201" fontId="0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vertical="top"/>
    </x:xf>
    <x:xf numFmtId="201" fontId="0" fillId="4" borderId="1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/>
    </x:xf>
    <x:xf numFmtId="0" fontId="0" fillId="4" borderId="5" xfId="0" applyNumberFormat="1" applyFont="1" applyFill="1" applyBorder="1" applyAlignment="1">
      <x:alignment vertical="top"/>
    </x:xf>
    <x:xf numFmtId="201" fontId="0" fillId="4" borderId="5" xfId="0" applyNumberFormat="1" applyFont="1" applyFill="1" applyBorder="1" applyAlignment="1">
      <x:alignment vertical="top"/>
    </x:xf>
    <x:xf numFmtId="0" fontId="0" fillId="4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/>
    </x:xf>
    <x:xf numFmtId="0" fontId="0" fillId="4" borderId="6" xfId="0" applyNumberFormat="1" applyFont="1" applyFill="1" applyBorder="1" applyAlignment="1">
      <x:alignment vertical="top"/>
    </x:xf>
    <x:xf numFmtId="201" fontId="0" fillId="4" borderId="6" xfId="0" applyNumberFormat="1" applyFont="1" applyFill="1" applyBorder="1" applyAlignment="1">
      <x:alignment vertical="top"/>
    </x:xf>
    <x:xf numFmtId="0" fontId="0" fillId="4" borderId="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/>
    </x:xf>
    <x:xf numFmtId="0" fontId="6" fillId="4" borderId="1" xfId="0" applyNumberFormat="1" applyFont="1" applyFill="1" applyBorder="1" applyAlignment="1">
      <x:alignment vertical="top"/>
    </x:xf>
    <x:xf numFmtId="201" fontId="6" fillId="4" borderId="1" xfId="0" applyNumberFormat="1" applyFont="1" applyFill="1" applyBorder="1" applyAlignment="1">
      <x:alignment vertical="top"/>
    </x:xf>
    <x:xf numFmtId="0" fontId="6" fillId="4" borderId="1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/>
    </x:xf>
    <x:xf numFmtId="0" fontId="6" fillId="0" borderId="5" xfId="0" applyNumberFormat="1" applyFont="1" applyFill="1" applyBorder="1" applyAlignment="1">
      <x:alignment vertical="top" wrapText="1"/>
    </x:xf>
    <x:xf numFmtId="201" fontId="6" fillId="0" borderId="5" xfId="0" applyNumberFormat="1" applyFont="1" applyFill="1" applyBorder="1" applyAlignment="1">
      <x:alignment vertical="top"/>
    </x:xf>
    <x:xf numFmtId="0" fontId="6" fillId="4" borderId="5" xfId="0" applyNumberFormat="1" applyFont="1" applyFill="1" applyBorder="1" applyAlignment="1">
      <x:alignment vertical="top"/>
    </x:xf>
    <x:xf numFmtId="201" fontId="6" fillId="4" borderId="5" xfId="0" applyNumberFormat="1" applyFont="1" applyFill="1" applyBorder="1" applyAlignment="1">
      <x:alignment vertical="top"/>
    </x:xf>
    <x:xf numFmtId="0" fontId="6" fillId="4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/>
    </x:xf>
    <x:xf numFmtId="0" fontId="6" fillId="0" borderId="6" xfId="0" applyNumberFormat="1" applyFont="1" applyFill="1" applyBorder="1" applyAlignment="1">
      <x:alignment vertical="top" wrapText="1"/>
    </x:xf>
    <x:xf numFmtId="201" fontId="6" fillId="0" borderId="6" xfId="0" applyNumberFormat="1" applyFont="1" applyFill="1" applyBorder="1" applyAlignment="1">
      <x:alignment vertical="top"/>
    </x:xf>
    <x:xf numFmtId="0" fontId="6" fillId="4" borderId="6" xfId="0" applyNumberFormat="1" applyFont="1" applyFill="1" applyBorder="1" applyAlignment="1">
      <x:alignment vertical="top"/>
    </x:xf>
    <x:xf numFmtId="201" fontId="6" fillId="4" borderId="6" xfId="0" applyNumberFormat="1" applyFont="1" applyFill="1" applyBorder="1" applyAlignment="1">
      <x:alignment vertical="top"/>
    </x:xf>
    <x:xf numFmtId="0" fontId="6" fillId="4" borderId="6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0" fontId="5" fillId="3" borderId="2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0" fontId="5" fillId="3" borderId="7" xfId="0" applyNumberFormat="1" applyFont="1" applyFill="1" applyBorder="1" applyAlignment="1">
      <x:alignment horizontal="center" vertical="top" wrapText="1"/>
    </x:xf>
    <x:xf numFmtId="0" fontId="5" fillId="3" borderId="8" xfId="0" applyNumberFormat="1" applyFont="1" applyFill="1" applyBorder="1" applyAlignment="1">
      <x:alignment horizontal="center" vertical="top" wrapText="1"/>
    </x:xf>
    <x:xf numFmtId="0" fontId="5" fillId="3" borderId="9" xfId="0" applyNumberFormat="1" applyFont="1" applyFill="1" applyBorder="1" applyAlignment="1">
      <x:alignment horizontal="center" vertical="top" wrapText="1"/>
    </x:xf>
    <x:xf numFmtId="201" fontId="6" fillId="0" borderId="5" xfId="0" applyNumberFormat="1" applyFont="1" applyFill="1" applyBorder="1" applyAlignment="1">
      <x:alignment vertical="top" wrapText="1"/>
    </x:xf>
    <x:xf numFmtId="201" fontId="6" fillId="0" borderId="6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0" fontId="5" fillId="5" borderId="3" xfId="0" applyNumberFormat="1" applyFont="1" applyFill="1" applyBorder="1" applyAlignment="1">
      <x:alignment horizontal="center" vertical="top" wrapText="1"/>
    </x:xf>
    <x:xf numFmtId="0" fontId="5" fillId="5" borderId="4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3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top"/>
    </x:xf>
    <x:xf numFmtId="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/>
    </x:xf>
    <x:xf numFmtId="0" fontId="7" fillId="4" borderId="1" xfId="0" applyNumberFormat="1" applyFont="1" applyFill="1" applyBorder="1" applyAlignment="1">
      <x:alignment vertical="top"/>
    </x:xf>
    <x:xf numFmtId="201" fontId="7" fillId="4" borderId="1" xfId="0" applyNumberFormat="1" applyFont="1" applyFill="1" applyBorder="1" applyAlignment="1">
      <x:alignment vertical="top"/>
    </x:xf>
    <x:xf numFmtId="0" fontId="7" fillId="4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 applyAlignment="1">
      <x:alignment vertical="top"/>
    </x:xf>
    <x:xf numFmtId="0" fontId="7" fillId="0" borderId="5" xfId="0" applyNumberFormat="1" applyFont="1" applyFill="1" applyBorder="1" applyAlignment="1">
      <x:alignment vertical="top" wrapText="1"/>
    </x:xf>
    <x:xf numFmtId="201" fontId="7" fillId="0" borderId="5" xfId="0" applyNumberFormat="1" applyFont="1" applyFill="1" applyBorder="1" applyAlignment="1">
      <x:alignment vertical="top"/>
    </x:xf>
    <x:xf numFmtId="0" fontId="7" fillId="4" borderId="5" xfId="0" applyNumberFormat="1" applyFont="1" applyFill="1" applyBorder="1" applyAlignment="1">
      <x:alignment vertical="top"/>
    </x:xf>
    <x:xf numFmtId="201" fontId="7" fillId="4" borderId="5" xfId="0" applyNumberFormat="1" applyFont="1" applyFill="1" applyBorder="1" applyAlignment="1">
      <x:alignment vertical="top"/>
    </x:xf>
    <x:xf numFmtId="0" fontId="7" fillId="4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/>
    </x:xf>
    <x:xf numFmtId="0" fontId="7" fillId="0" borderId="6" xfId="0" applyNumberFormat="1" applyFont="1" applyFill="1" applyBorder="1" applyAlignment="1">
      <x:alignment vertical="top" wrapText="1"/>
    </x:xf>
    <x:xf numFmtId="201" fontId="7" fillId="0" borderId="6" xfId="0" applyNumberFormat="1" applyFont="1" applyFill="1" applyBorder="1" applyAlignment="1">
      <x:alignment vertical="top"/>
    </x:xf>
    <x:xf numFmtId="0" fontId="7" fillId="4" borderId="6" xfId="0" applyNumberFormat="1" applyFont="1" applyFill="1" applyBorder="1" applyAlignment="1">
      <x:alignment vertical="top"/>
    </x:xf>
    <x:xf numFmtId="201" fontId="7" fillId="4" borderId="6" xfId="0" applyNumberFormat="1" applyFont="1" applyFill="1" applyBorder="1" applyAlignment="1">
      <x:alignment vertical="top"/>
    </x:xf>
    <x:xf numFmtId="0" fontId="7" fillId="4" borderId="6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201" fontId="7" fillId="4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 wrapText="1"/>
    </x:xf>
    <x:xf numFmtId="201" fontId="7" fillId="0" borderId="5" xfId="0" applyNumberFormat="1" applyFont="1" applyFill="1" applyBorder="1" applyAlignment="1">
      <x:alignment vertical="center"/>
    </x:xf>
    <x:xf numFmtId="0" fontId="7" fillId="4" borderId="5" xfId="0" applyNumberFormat="1" applyFont="1" applyFill="1" applyBorder="1" applyAlignment="1">
      <x:alignment vertical="center"/>
    </x:xf>
    <x:xf numFmtId="201" fontId="7" fillId="4" borderId="5" xfId="0" applyNumberFormat="1" applyFont="1" applyFill="1" applyBorder="1" applyAlignment="1">
      <x:alignment vertical="center"/>
    </x:xf>
    <x:xf numFmtId="0" fontId="7" fillId="4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 wrapText="1"/>
    </x:xf>
    <x:xf numFmtId="201" fontId="7" fillId="0" borderId="6" xfId="0" applyNumberFormat="1" applyFont="1" applyFill="1" applyBorder="1" applyAlignment="1">
      <x:alignment vertical="center"/>
    </x:xf>
    <x:xf numFmtId="0" fontId="7" fillId="4" borderId="6" xfId="0" applyNumberFormat="1" applyFont="1" applyFill="1" applyBorder="1" applyAlignment="1">
      <x:alignment vertical="center"/>
    </x:xf>
    <x:xf numFmtId="201" fontId="7" fillId="4" borderId="6" xfId="0" applyNumberFormat="1" applyFont="1" applyFill="1" applyBorder="1" applyAlignment="1">
      <x:alignment vertical="center"/>
    </x:xf>
    <x:xf numFmtId="0" fontId="7" fillId="4" borderId="6" xfId="0" applyNumberFormat="1" applyFont="1" applyFill="1" applyBorder="1" applyAlignment="1">
      <x:alignment vertical="center" wrapText="1"/>
    </x:xf>
    <x:xf numFmtId="0" fontId="7" fillId="0" xfId="0" applyNumberFormat="1" applyFont="1" applyFill="1" applyBorder="0" applyAlignment="1">
      <x:alignment vertical="center"/>
    </x:xf>
    <x:xf numFmtId="0" fontId="7" fillId="0" xfId="0" applyNumberFormat="1" applyFont="1" applyFill="1" applyBorder="0" applyAlignment="1">
      <x:alignment vertical="center" wrapText="1"/>
    </x:xf>
    <x:xf numFmtId="0" fontId="7" fillId="6" borderId="1" xfId="0" applyNumberFormat="1" applyFont="1" applyFill="1" applyBorder="1" applyAlignment="1">
      <x:alignment vertical="center"/>
    </x:xf>
    <x:xf numFmtId="201" fontId="7" fillId="6" borderId="1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/>
    </x:xf>
    <x:xf numFmtId="201" fontId="7" fillId="6" borderId="5" xfId="0" applyNumberFormat="1" applyFont="1" applyFill="1" applyBorder="1" applyAlignment="1">
      <x:alignment vertical="center"/>
    </x:xf>
    <x:xf numFmtId="0" fontId="7" fillId="6" borderId="5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/>
    </x:xf>
    <x:xf numFmtId="201" fontId="7" fillId="6" borderId="6" xfId="0" applyNumberFormat="1" applyFont="1" applyFill="1" applyBorder="1" applyAlignment="1">
      <x:alignment vertical="center"/>
    </x:xf>
    <x:xf numFmtId="0" fontId="7" fillId="6" borderId="6" xfId="0" applyNumberFormat="1" applyFont="1" applyFill="1" applyBorder="1" applyAlignment="1">
      <x:alignment vertical="center" wrapText="1"/>
    </x:xf>
    <x:xf numFmtId="0" fontId="7" fillId="6" xfId="0" applyNumberFormat="1" applyFont="1" applyFill="1" applyBorder="0" applyAlignment="1">
      <x:alignment vertical="center"/>
    </x:xf>
    <x:xf numFmtId="0" fontId="7" fillId="6" xfId="0" applyNumberFormat="1" applyFont="1" applyFill="1" applyBorder="0" applyAlignment="1">
      <x:alignment vertical="center" wrapText="1"/>
    </x:xf>
    <x:xf numFmtId="0" fontId="7" fillId="7" xfId="0" applyNumberFormat="1" applyFont="1" applyFill="1" applyBorder="0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8" xfId="0" applyNumberFormat="1" applyFont="1" applyFill="1" applyBorder="0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9" xfId="0" applyNumberFormat="1" applyFont="1" applyFill="1" applyBorder="0" applyAlignment="1">
      <x:alignment vertical="center" wrapText="1"/>
    </x:xf>
    <x:xf numFmtId="0" fontId="7" fillId="9" borderId="1" xfId="0" applyNumberFormat="1" applyFont="1" applyFill="1" applyBorder="1" applyAlignment="1">
      <x:alignment vertical="center" wrapText="1"/>
    </x:xf>
    <x:xf numFmtId="201" fontId="7" fillId="0" xfId="0" applyNumberFormat="1" applyFont="1" applyFill="1" applyBorder="0" applyAlignment="1">
      <x:alignment vertical="center"/>
    </x:xf>
    <x:xf numFmtId="201" fontId="7" fillId="6" xfId="0" applyNumberFormat="1" applyFont="1" applyFill="1" applyBorder="0" applyAlignment="1">
      <x:alignment vertical="center"/>
    </x:xf>
    <x:xf numFmtId="0" fontId="7" fillId="0" xfId="0" applyNumberFormat="1" applyFont="1" applyFill="1" applyBorder="0"/>
    <x:xf numFmtId="0" fontId="7" fillId="0" borderId="1" xfId="0" applyNumberFormat="1" applyFont="1" applyFill="1" applyBorder="1"/>
    <x:xf numFmtId="0" fontId="7" fillId="10" xfId="0" applyNumberFormat="1" applyFont="1" applyFill="1" applyBorder="0" applyAlignment="1">
      <x:alignment vertical="center"/>
    </x:xf>
    <x:xf numFmtId="0" fontId="7" fillId="10" borderId="1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horizontal="center" vertical="top" wrapText="1"/>
    </x:xf>
    <x:xf numFmtId="0" fontId="5" fillId="5" borderId="8" xfId="0" applyNumberFormat="1" applyFont="1" applyFill="1" applyBorder="1" applyAlignment="1">
      <x:alignment horizontal="center" vertical="top" wrapText="1"/>
    </x:xf>
    <x:xf numFmtId="0" fontId="5" fillId="5" borderId="9" xfId="0" applyNumberFormat="1" applyFont="1" applyFill="1" applyBorder="1" applyAlignment="1">
      <x:alignment horizontal="center" vertical="top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7" fillId="6" borderId="5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wrapText="1"/>
    </x:xf>
    <x:xf numFmtId="0" fontId="7" fillId="0" xfId="0" applyNumberFormat="1" applyFont="1" applyFill="1" applyBorder="0" applyAlignment="1">
      <x:alignment wrapText="1"/>
    </x:xf>
    <x:xf numFmtId="0" fontId="7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F5B45"/>
      </x:font>
      <x:fill>
        <x:patternFill>
          <x:bgColor rgb="FFE5F0EA"/>
        </x:patternFill>
      </x:fill>
    </x:dxf>
    <x:dxf>
      <x:font>
        <x:b/>
        <x:color rgb="FF7A5513"/>
      </x:font>
      <x:fill>
        <x:patternFill>
          <x:bgColor rgb="FFFFF2CC"/>
        </x:patternFill>
      </x:fill>
    </x:dxf>
    <x:dxf>
      <x:font>
        <x:b/>
        <x:color rgb="FFA63D40"/>
      </x:font>
      <x:fill>
        <x:patternFill>
          <x:bgColor rgb="FFFCE8E6"/>
        </x:patternFill>
      </x:fill>
    </x:dxf>
    <x:dxf>
      <x:font>
        <x:b/>
        <x:color rgb="FFA63D40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72eb1a50c04f76" /><Relationship Type="http://schemas.openxmlformats.org/officeDocument/2006/relationships/theme" Target="/xl/theme/theme1.xml" Id="R23cd8234e25446e6" /><Relationship Type="http://schemas.openxmlformats.org/officeDocument/2006/relationships/sharedStrings" Target="/xl/sharedStrings.xml" Id="Ra7e08f285c1d42cd" /><Relationship Type="http://schemas.openxmlformats.org/officeDocument/2006/relationships/worksheet" Target="/xl/worksheets/sheet1.xml" Id="R932c249398ff48f8" /><Relationship Type="http://schemas.openxmlformats.org/officeDocument/2006/relationships/worksheet" Target="/xl/worksheets/sheet2.xml" Id="Rdf6b8a7111834a3b" /><Relationship Type="http://schemas.openxmlformats.org/officeDocument/2006/relationships/worksheet" Target="/xl/worksheets/sheet3.xml" Id="Rd19f557407da4d52" /><Relationship Type="http://schemas.openxmlformats.org/officeDocument/2006/relationships/worksheet" Target="/xl/worksheets/sheet4.xml" Id="Rdf685774e44448cf" /><Relationship Type="http://schemas.openxmlformats.org/officeDocument/2006/relationships/worksheet" Target="/xl/worksheets/sheet5.xml" Id="Rda92fd73431e4ad6" /><Relationship Type="http://schemas.microsoft.com/office/2017/10/relationships/person" Target="/xl/persons/person.xml" Id="Ref8af076e1c24cb5" /></Relationships>
</file>

<file path=xl/persons/person.xml><?xml version="1.0" encoding="utf-8"?>
<xltc:personList xmlns:xltc="http://schemas.microsoft.com/office/spreadsheetml/2018/threadedcomments">
  <xltc:person displayName="Pablo" id="{BBBD8DBE-541E-490A-AE7C-AE5B020D862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5B45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11" hidden="0" customWidth="1"/>
    <x:col min="2" max="2" width="16" hidden="0" customWidth="1"/>
    <x:col min="3" max="3" width="25" hidden="0" customWidth="1"/>
    <x:col min="4" max="4" width="27" hidden="0" customWidth="1"/>
    <x:col min="5" max="5" width="24" hidden="0" customWidth="1"/>
    <x:col min="6" max="6" width="12" hidden="0" customWidth="1"/>
    <x:col min="7" max="7" width="16" hidden="0" customWidth="1"/>
    <x:col min="8" max="8" width="15" hidden="0" customWidth="1"/>
    <x:col min="9" max="9" width="17" hidden="0" customWidth="1"/>
    <x:col min="10" max="10" width="18" hidden="0" customWidth="1"/>
    <x:col min="11" max="11" width="22" hidden="0" customWidth="1"/>
    <x:col min="12" max="12" width="46" hidden="0" customWidth="1"/>
    <x:col min="13" max="13" width="23" hidden="0" customWidth="1"/>
    <x:col min="14" max="14" width="22" hidden="0" customWidth="1"/>
    <x:col min="15" max="15" width="22" hidden="0" customWidth="1"/>
    <x:col min="16" max="16" width="20" hidden="0" customWidth="1"/>
    <x:col min="17" max="17" width="22" hidden="0" customWidth="1"/>
    <x:col min="18" max="18" width="32" hidden="0" customWidth="1"/>
    <x:col min="19" max="19" width="18" hidden="0" customWidth="1"/>
    <x:col min="20" max="20" width="25" hidden="0" customWidth="1"/>
  </x:cols>
  <x:sheetData>
    <x:row r="2" ht="19.200000762939453" hidden="0" customHeight="1">
      <x:c r="A2" s="72" t="str">
        <x:v>Pulzos: límites, seguridad y uso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</x:row>
    <x:row r="3" ht="15" hidden="0" customHeight="1">
      <x:c r="A3" s="74" t="str">
        <x:v>Revisa Decisión, Límite ajustado y Notas. Las funciones futuras quedan definidas pero no consumen cuota hasta que se activen.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</x:row>
    <x:row r="4" ht="15" hidden="0" customHeight="1">
      <x:c r="A4" s="54"/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</x:row>
    <x:row r="5" ht="15" hidden="0" customHeight="1">
      <x:c r="A5" s="73"/>
      <x:c r="B5" s="73"/>
      <x:c r="C5" s="73"/>
      <x:c r="D5" s="73"/>
      <x:c r="E5" s="73"/>
      <x:c r="F5" s="73"/>
      <x:c r="G5" s="73"/>
      <x:c r="H5" s="73"/>
      <x:c r="I5" s="73"/>
      <x:c r="J5" s="73"/>
      <x:c r="K5" s="73"/>
      <x:c r="L5" s="73"/>
      <x:c r="M5" s="73"/>
    </x:row>
    <x:row r="6" ht="15" hidden="0" customHeight="1">
      <x:c r="A6" s="75" t="str">
        <x:v>Métricas</x:v>
      </x:c>
      <x:c r="B6" s="75" t="str">
        <x:v>Por revisar</x:v>
      </x:c>
      <x:c r="C6" s="73"/>
      <x:c r="D6" s="73"/>
      <x:c r="E6" s="73"/>
      <x:c r="F6" s="73"/>
      <x:c r="G6" s="73"/>
      <x:c r="H6" s="73"/>
      <x:c r="I6" s="73"/>
      <x:c r="J6" s="73"/>
      <x:c r="K6" s="73"/>
      <x:c r="L6" s="73"/>
      <x:c r="M6" s="73"/>
    </x:row>
    <x:row r="7" ht="16.799999237060547" hidden="0" customHeight="1">
      <x:c r="A7" s="76" t="n">
        <x:f>COUNTA(A11:A53)</x:f>
        <x:v>43</x:v>
      </x:c>
      <x:c r="B7" s="76" t="n">
        <x:f>COUNTIF(J11:J53,"Pendiente")+COUNTIF(J11:J53,"Revisar")+COUNTIF(J11:J53,"Confirmar")</x:f>
        <x:v>9</x:v>
      </x:c>
      <x:c r="C7" s="73"/>
      <x:c r="D7" s="73"/>
      <x:c r="E7" s="73"/>
      <x:c r="F7" s="73"/>
      <x:c r="G7" s="73"/>
      <x:c r="H7" s="73"/>
      <x:c r="I7" s="73"/>
      <x:c r="J7" s="73"/>
      <x:c r="K7" s="73"/>
      <x:c r="L7" s="73"/>
      <x:c r="M7" s="73"/>
    </x:row>
    <x:row r="8" ht="15" hidden="0" customHeight="1">
      <x:c r="A8" s="73"/>
      <x:c r="B8" s="73"/>
      <x:c r="C8" s="73"/>
      <x:c r="D8" s="73"/>
      <x:c r="E8" s="73"/>
      <x:c r="F8" s="73"/>
      <x:c r="G8" s="73"/>
      <x:c r="H8" s="73"/>
      <x:c r="I8" s="73"/>
      <x:c r="J8" s="73"/>
      <x:c r="K8" s="73"/>
      <x:c r="L8" s="73"/>
      <x:c r="M8" s="73"/>
    </x:row>
    <x:row r="9" ht="15" hidden="0" customHeight="1">
      <x:c r="A9" s="73"/>
      <x:c r="B9" s="73"/>
      <x:c r="C9" s="73"/>
      <x:c r="D9" s="73"/>
      <x:c r="E9" s="73"/>
      <x:c r="F9" s="73"/>
      <x:c r="G9" s="73"/>
      <x:c r="H9" s="73"/>
      <x:c r="I9" s="73"/>
      <x:c r="J9" s="73"/>
      <x:c r="K9" s="73"/>
      <x:c r="L9" s="73"/>
      <x:c r="M9" s="73"/>
    </x:row>
    <x:row r="10" ht="32" hidden="0" customHeight="1">
      <x:c r="A10" s="101" t="str">
        <x:v>ID</x:v>
      </x:c>
      <x:c r="B10" s="102" t="str">
        <x:v>Área</x:v>
      </x:c>
      <x:c r="C10" s="102" t="str">
        <x:v>Nombre para el usuario</x:v>
      </x:c>
      <x:c r="D10" s="102" t="str">
        <x:v>Clave técnica</x:v>
      </x:c>
      <x:c r="E10" s="102" t="str">
        <x:v>Tipo de límite</x:v>
      </x:c>
      <x:c r="F10" s="102" t="str">
        <x:v>Propuesta</x:v>
      </x:c>
      <x:c r="G10" s="102" t="str">
        <x:v>Unidad</x:v>
      </x:c>
      <x:c r="H10" s="102" t="str">
        <x:v>Periodo</x:v>
      </x:c>
      <x:c r="I10" s="102" t="str">
        <x:v>¿Aplica al admin?</x:v>
      </x:c>
      <x:c r="J10" s="102" t="str">
        <x:v>Decisión</x:v>
      </x:c>
      <x:c r="K10" s="102" t="str">
        <x:v>Límite ajustado</x:v>
      </x:c>
      <x:c r="L10" s="102" t="str">
        <x:v>Notas y correcciones</x:v>
      </x:c>
      <x:c r="M10" s="102" t="str">
        <x:v>Resultado final</x:v>
      </x:c>
      <x:c r="N10" s="102" t="str">
        <x:v>Disponibilidad Gratis</x:v>
      </x:c>
      <x:c r="O10" s="102" t="str">
        <x:v>Canales</x:v>
      </x:c>
      <x:c r="P10" s="102" t="str">
        <x:v>Etapa</x:v>
      </x:c>
      <x:c r="Q10" s="102" t="str">
        <x:v>Estado de medición</x:v>
      </x:c>
      <x:c r="R10" s="102" t="str">
        <x:v>Punto de control</x:v>
      </x:c>
      <x:c r="S10" s="102" t="str">
        <x:v>Visible en la app</x:v>
      </x:c>
      <x:c r="T10" s="102" t="str">
        <x:v>Vigente desde</x:v>
      </x:c>
    </x:row>
    <x:row r="11" ht="42" hidden="0" customHeight="1">
      <x:c r="A11" s="122" t="str">
        <x:v>LIM-001</x:v>
      </x:c>
      <x:c r="B11" s="122" t="str">
        <x:v>Organización</x:v>
      </x:c>
      <x:c r="C11" s="123" t="str">
        <x:v>Proyectos</x:v>
      </x:c>
      <x:c r="D11" s="122" t="str">
        <x:v>projects.total</x:v>
      </x:c>
      <x:c r="E11" s="122" t="str">
        <x:v>Cuota visible</x:v>
      </x:c>
      <x:c r="F11" s="124" t="n">
        <x:v>1</x:v>
      </x:c>
      <x:c r="G11" s="122" t="str">
        <x:v>proyecto</x:v>
      </x:c>
      <x:c r="H11" s="122" t="str">
        <x:v>Total</x:v>
      </x:c>
      <x:c r="I11" s="122" t="str">
        <x:v>No</x:v>
      </x:c>
      <x:c r="J11" s="143" t="str">
        <x:v>Aprobar</x:v>
      </x:c>
      <x:c r="K11" s="144" t="n">
        <x:v>1</x:v>
      </x:c>
      <x:c r="L11" s="145" t="str">
        <x:v>Un Proyecto puede contener varios Espacios. La cuota queda definida antes de publicar la función.</x:v>
      </x:c>
      <x:c r="M11" s="124" t="n">
        <x:v>1</x:v>
      </x:c>
      <x:c r="N11" s="154" t="str">
        <x:v>Futura</x:v>
      </x:c>
      <x:c r="O11" s="154" t="str">
        <x:v>Web, MCP</x:v>
      </x:c>
      <x:c r="P11" s="154" t="str">
        <x:v>Futura</x:v>
      </x:c>
      <x:c r="Q11" s="156" t="str">
        <x:v>Inactivo</x:v>
      </x:c>
      <x:c r="R11" s="156" t="str">
        <x:v>Base de datos</x:v>
      </x:c>
      <x:c r="S11" s="158" t="str">
        <x:v>No</x:v>
      </x:c>
      <x:c r="T11" s="158" t="str">
        <x:v>Al activar Proyectos</x:v>
      </x:c>
    </x:row>
    <x:row r="12" ht="42" hidden="0" customHeight="1">
      <x:c r="A12" s="129" t="str">
        <x:v>LIM-002</x:v>
      </x:c>
      <x:c r="B12" s="129" t="str">
        <x:v>Organización</x:v>
      </x:c>
      <x:c r="C12" s="130" t="str">
        <x:v>Espacios</x:v>
      </x:c>
      <x:c r="D12" s="129" t="str">
        <x:v>spaces.total</x:v>
      </x:c>
      <x:c r="E12" s="129" t="str">
        <x:v>Cuota visible</x:v>
      </x:c>
      <x:c r="F12" s="131" t="n">
        <x:v>5</x:v>
      </x:c>
      <x:c r="G12" s="129" t="str">
        <x:v>espacios</x:v>
      </x:c>
      <x:c r="H12" s="129" t="str">
        <x:v>Total</x:v>
      </x:c>
      <x:c r="I12" s="129" t="str">
        <x:v>No</x:v>
      </x:c>
      <x:c r="J12" s="146" t="str">
        <x:v>Aprobar</x:v>
      </x:c>
      <x:c r="K12" s="147" t="n">
        <x:v>5</x:v>
      </x:c>
      <x:c r="L12" s="148" t="str">
        <x:v>Los elementos sueltos del Codex no usan Memoria hasta asociarse a un Espacio.</x:v>
      </x:c>
      <x:c r="M12" s="131" t="n">
        <x:v>5</x:v>
      </x:c>
      <x:c r="N12" s="154" t="str">
        <x:v>Activa</x:v>
      </x:c>
      <x:c r="O12" s="154" t="str">
        <x:v>Móvil, web, MCP</x:v>
      </x:c>
      <x:c r="P12" s="154" t="str">
        <x:v>Lanzamiento móvil</x:v>
      </x:c>
      <x:c r="Q12" s="156" t="str">
        <x:v>No instrumentado</x:v>
      </x:c>
      <x:c r="R12" s="156" t="str">
        <x:v>Base de datos</x:v>
      </x:c>
      <x:c r="S12" s="158" t="str">
        <x:v>Sí</x:v>
      </x:c>
      <x:c r="T12" s="158" t="str">
        <x:v>Plan Gratis v1</x:v>
      </x:c>
    </x:row>
    <x:row r="13" ht="42" hidden="0" customHeight="1">
      <x:c r="A13" s="129" t="str">
        <x:v>LIM-003</x:v>
      </x:c>
      <x:c r="B13" s="129" t="str">
        <x:v>Codex</x:v>
      </x:c>
      <x:c r="C13" s="130" t="str">
        <x:v>Elementos del Codex</x:v>
      </x:c>
      <x:c r="D13" s="129" t="str">
        <x:v>codex.items.total</x:v>
      </x:c>
      <x:c r="E13" s="129" t="str">
        <x:v>Cuota visible</x:v>
      </x:c>
      <x:c r="F13" s="131" t="n">
        <x:v>1000</x:v>
      </x:c>
      <x:c r="G13" s="129" t="str">
        <x:v>elementos</x:v>
      </x:c>
      <x:c r="H13" s="129" t="str">
        <x:v>Total</x:v>
      </x:c>
      <x:c r="I13" s="129" t="str">
        <x:v>No</x:v>
      </x:c>
      <x:c r="J13" s="146" t="str">
        <x:v>Aprobar</x:v>
      </x:c>
      <x:c r="K13" s="147" t="n">
        <x:v>1000</x:v>
      </x:c>
      <x:c r="L13" s="148" t="str">
        <x:v>Incluye los tipos oficiales. Publicaciones y notas rápidas se miden aparte.</x:v>
      </x:c>
      <x:c r="M13" s="131" t="n">
        <x:v>1000</x:v>
      </x:c>
      <x:c r="N13" s="154" t="str">
        <x:v>Activa</x:v>
      </x:c>
      <x:c r="O13" s="154" t="str">
        <x:v>Móvil, web, MCP</x:v>
      </x:c>
      <x:c r="P13" s="154" t="str">
        <x:v>Lanzamiento móvil</x:v>
      </x:c>
      <x:c r="Q13" s="156" t="str">
        <x:v>No instrumentado</x:v>
      </x:c>
      <x:c r="R13" s="156" t="str">
        <x:v>Base de datos</x:v>
      </x:c>
      <x:c r="S13" s="158" t="str">
        <x:v>Sí</x:v>
      </x:c>
      <x:c r="T13" s="158" t="str">
        <x:v>Plan Gratis v1</x:v>
      </x:c>
    </x:row>
    <x:row r="14" ht="42" hidden="0" customHeight="1">
      <x:c r="A14" s="129" t="str">
        <x:v>LIM-004</x:v>
      </x:c>
      <x:c r="B14" s="129" t="str">
        <x:v>Codex</x:v>
      </x:c>
      <x:c r="C14" s="130" t="str">
        <x:v>Relaciones</x:v>
      </x:c>
      <x:c r="D14" s="129" t="str">
        <x:v>codex.relations.total</x:v>
      </x:c>
      <x:c r="E14" s="129" t="str">
        <x:v>Cuota visible</x:v>
      </x:c>
      <x:c r="F14" s="131" t="n">
        <x:v>5000</x:v>
      </x:c>
      <x:c r="G14" s="129" t="str">
        <x:v>relaciones</x:v>
      </x:c>
      <x:c r="H14" s="129" t="str">
        <x:v>Total</x:v>
      </x:c>
      <x:c r="I14" s="129" t="str">
        <x:v>No</x:v>
      </x:c>
      <x:c r="J14" s="146" t="str">
        <x:v>Aprobar</x:v>
      </x:c>
      <x:c r="K14" s="147" t="n">
        <x:v>5000</x:v>
      </x:c>
      <x:c r="L14" s="148" t="str">
        <x:v>Incluye relaciones manuales y relaciones sugeridas que el usuario acepte.</x:v>
      </x:c>
      <x:c r="M14" s="131" t="n">
        <x:v>5000</x:v>
      </x:c>
      <x:c r="N14" s="154" t="str">
        <x:v>Activa</x:v>
      </x:c>
      <x:c r="O14" s="154" t="str">
        <x:v>Móvil, web, MCP</x:v>
      </x:c>
      <x:c r="P14" s="154" t="str">
        <x:v>Lanzamiento móvil</x:v>
      </x:c>
      <x:c r="Q14" s="156" t="str">
        <x:v>No instrumentado</x:v>
      </x:c>
      <x:c r="R14" s="156" t="str">
        <x:v>Base de datos</x:v>
      </x:c>
      <x:c r="S14" s="158" t="str">
        <x:v>Sí</x:v>
      </x:c>
      <x:c r="T14" s="158" t="str">
        <x:v>Plan Gratis v1</x:v>
      </x:c>
    </x:row>
    <x:row r="15" ht="42" hidden="0" customHeight="1">
      <x:c r="A15" s="129" t="str">
        <x:v>LIM-005</x:v>
      </x:c>
      <x:c r="B15" s="129" t="str">
        <x:v>Codex</x:v>
      </x:c>
      <x:c r="C15" s="130" t="str">
        <x:v>Campos personalizados</x:v>
      </x:c>
      <x:c r="D15" s="129" t="str">
        <x:v>codex.custom_fields.total</x:v>
      </x:c>
      <x:c r="E15" s="129" t="str">
        <x:v>Cuota visible</x:v>
      </x:c>
      <x:c r="F15" s="131" t="n">
        <x:v>100</x:v>
      </x:c>
      <x:c r="G15" s="129" t="str">
        <x:v>campos</x:v>
      </x:c>
      <x:c r="H15" s="129" t="str">
        <x:v>Total</x:v>
      </x:c>
      <x:c r="I15" s="129" t="str">
        <x:v>No</x:v>
      </x:c>
      <x:c r="J15" s="146" t="str">
        <x:v>Aprobar</x:v>
      </x:c>
      <x:c r="K15" s="147" t="n">
        <x:v>100</x:v>
      </x:c>
      <x:c r="L15" s="148" t="str">
        <x:v>Los campos conservan clave, tipo, etiqueta y motivo.</x:v>
      </x:c>
      <x:c r="M15" s="131" t="n">
        <x:v>100</x:v>
      </x:c>
      <x:c r="N15" s="154" t="str">
        <x:v>Activa</x:v>
      </x:c>
      <x:c r="O15" s="154" t="str">
        <x:v>Móvil, web, MCP</x:v>
      </x:c>
      <x:c r="P15" s="154" t="str">
        <x:v>Lanzamiento móvil</x:v>
      </x:c>
      <x:c r="Q15" s="156" t="str">
        <x:v>No instrumentado</x:v>
      </x:c>
      <x:c r="R15" s="156" t="str">
        <x:v>Base de datos</x:v>
      </x:c>
      <x:c r="S15" s="158" t="str">
        <x:v>Sí</x:v>
      </x:c>
      <x:c r="T15" s="158" t="str">
        <x:v>Plan Gratis v1</x:v>
      </x:c>
    </x:row>
    <x:row r="16" ht="42" hidden="0" customHeight="1">
      <x:c r="A16" s="129" t="str">
        <x:v>LIM-006</x:v>
      </x:c>
      <x:c r="B16" s="129" t="str">
        <x:v>Codex</x:v>
      </x:c>
      <x:c r="C16" s="130" t="str">
        <x:v>Presets personales</x:v>
      </x:c>
      <x:c r="D16" s="129" t="str">
        <x:v>codex.presets.total</x:v>
      </x:c>
      <x:c r="E16" s="129" t="str">
        <x:v>Cuota visible</x:v>
      </x:c>
      <x:c r="F16" s="131" t="n">
        <x:v>25</x:v>
      </x:c>
      <x:c r="G16" s="129" t="str">
        <x:v>presets</x:v>
      </x:c>
      <x:c r="H16" s="129" t="str">
        <x:v>Total</x:v>
      </x:c>
      <x:c r="I16" s="129" t="str">
        <x:v>No</x:v>
      </x:c>
      <x:c r="J16" s="146" t="str">
        <x:v>Aprobar</x:v>
      </x:c>
      <x:c r="K16" s="147" t="n">
        <x:v>25</x:v>
      </x:c>
      <x:c r="L16" s="148" t="str">
        <x:v>Un elemento puede usar varios presets.</x:v>
      </x:c>
      <x:c r="M16" s="131" t="n">
        <x:v>25</x:v>
      </x:c>
      <x:c r="N16" s="154" t="str">
        <x:v>Activa</x:v>
      </x:c>
      <x:c r="O16" s="154" t="str">
        <x:v>Móvil, web, MCP</x:v>
      </x:c>
      <x:c r="P16" s="154" t="str">
        <x:v>Lanzamiento móvil</x:v>
      </x:c>
      <x:c r="Q16" s="156" t="str">
        <x:v>No instrumentado</x:v>
      </x:c>
      <x:c r="R16" s="156" t="str">
        <x:v>Base de datos</x:v>
      </x:c>
      <x:c r="S16" s="158" t="str">
        <x:v>Sí</x:v>
      </x:c>
      <x:c r="T16" s="158" t="str">
        <x:v>Plan Gratis v1</x:v>
      </x:c>
    </x:row>
    <x:row r="17" ht="42" hidden="0" customHeight="1">
      <x:c r="A17" s="129" t="str">
        <x:v>LIM-007</x:v>
      </x:c>
      <x:c r="B17" s="129" t="str">
        <x:v>Notas</x:v>
      </x:c>
      <x:c r="C17" s="130" t="str">
        <x:v>Notas rápidas</x:v>
      </x:c>
      <x:c r="D17" s="129" t="str">
        <x:v>snippets.storage_pool</x:v>
      </x:c>
      <x:c r="E17" s="129" t="str">
        <x:v>Incluida en cuota compartida</x:v>
      </x:c>
      <x:c r="F17" s="131"/>
      <x:c r="G17" s="129" t="str">
        <x:v>MB</x:v>
      </x:c>
      <x:c r="H17" s="129" t="str">
        <x:v>Total</x:v>
      </x:c>
      <x:c r="I17" s="129" t="str">
        <x:v>No</x:v>
      </x:c>
      <x:c r="J17" s="146" t="str">
        <x:v>Reemplazar</x:v>
      </x:c>
      <x:c r="K17" s="147" t="str">
        <x:v>Incluida en almacenamiento</x:v>
      </x:c>
      <x:c r="L17" s="148" t="str">
        <x:v>El texto y los adjuntos de las notas consumen la bolsa general de almacenamiento. No existe una bolsa separada de 300 MB.</x:v>
      </x:c>
      <x:c r="M17" s="131" t="str">
        <x:v>Consume storage.bytes</x:v>
      </x:c>
      <x:c r="N17" s="154" t="str">
        <x:v>Activa</x:v>
      </x:c>
      <x:c r="O17" s="154" t="str">
        <x:v>Móvil, web</x:v>
      </x:c>
      <x:c r="P17" s="154" t="str">
        <x:v>Lanzamiento móvil</x:v>
      </x:c>
      <x:c r="Q17" s="156" t="str">
        <x:v>No instrumentado</x:v>
      </x:c>
      <x:c r="R17" s="156" t="str">
        <x:v>Almacenamiento y backend</x:v>
      </x:c>
      <x:c r="S17" s="158" t="str">
        <x:v>Sí</x:v>
      </x:c>
      <x:c r="T17" s="158" t="str">
        <x:v>Plan Gratis v1</x:v>
      </x:c>
    </x:row>
    <x:row r="18" ht="42" hidden="0" customHeight="1">
      <x:c r="A18" s="129" t="str">
        <x:v>LIM-008</x:v>
      </x:c>
      <x:c r="B18" s="129" t="str">
        <x:v>Publicaciones</x:v>
      </x:c>
      <x:c r="C18" s="130" t="str">
        <x:v>Publicaciones guardadas</x:v>
      </x:c>
      <x:c r="D18" s="129" t="str">
        <x:v>posts.total</x:v>
      </x:c>
      <x:c r="E18" s="129" t="str">
        <x:v>Disponibilidad</x:v>
      </x:c>
      <x:c r="F18" s="131" t="n">
        <x:v>0</x:v>
      </x:c>
      <x:c r="G18" s="129" t="str">
        <x:v>publicaciones</x:v>
      </x:c>
      <x:c r="H18" s="129" t="str">
        <x:v>Total</x:v>
      </x:c>
      <x:c r="I18" s="129" t="str">
        <x:v>No</x:v>
      </x:c>
      <x:c r="J18" s="146" t="str">
        <x:v>Cambiar</x:v>
      </x:c>
      <x:c r="K18" s="147" t="n">
        <x:v>0</x:v>
      </x:c>
      <x:c r="L18" s="148" t="str">
        <x:v>Las publicaciones no forman parte de los items oficiales y no están disponibles para cuentas Gratis.</x:v>
      </x:c>
      <x:c r="M18" s="131" t="str">
        <x:v>No disponible en Gratis</x:v>
      </x:c>
      <x:c r="N18" s="154" t="str">
        <x:v>Solo administrador</x:v>
      </x:c>
      <x:c r="O18" s="154" t="str">
        <x:v>Móvil, web</x:v>
      </x:c>
      <x:c r="P18" s="154" t="str">
        <x:v>Lanzamiento móvil</x:v>
      </x:c>
      <x:c r="Q18" s="156" t="str">
        <x:v>Bloqueado por capacidad</x:v>
      </x:c>
      <x:c r="R18" s="156" t="str">
        <x:v>Base de datos y backend</x:v>
      </x:c>
      <x:c r="S18" s="158" t="str">
        <x:v>No</x:v>
      </x:c>
      <x:c r="T18" s="158" t="str">
        <x:v>Plan Gratis v1</x:v>
      </x:c>
    </x:row>
    <x:row r="19" ht="42" hidden="0" customHeight="1">
      <x:c r="A19" s="129" t="str">
        <x:v>LIM-009</x:v>
      </x:c>
      <x:c r="B19" s="129" t="str">
        <x:v>Publicaciones</x:v>
      </x:c>
      <x:c r="C19" s="130" t="str">
        <x:v>Publicaciones importadas</x:v>
      </x:c>
      <x:c r="D19" s="129" t="str">
        <x:v>posts.imported</x:v>
      </x:c>
      <x:c r="E19" s="129" t="str">
        <x:v>Disponibilidad</x:v>
      </x:c>
      <x:c r="F19" s="131" t="n">
        <x:v>0</x:v>
      </x:c>
      <x:c r="G19" s="129" t="str">
        <x:v>publicaciones</x:v>
      </x:c>
      <x:c r="H19" s="129" t="str">
        <x:v>Mes</x:v>
      </x:c>
      <x:c r="I19" s="129" t="str">
        <x:v>No</x:v>
      </x:c>
      <x:c r="J19" s="146" t="str">
        <x:v>Cambiar</x:v>
      </x:c>
      <x:c r="K19" s="147" t="n">
        <x:v>0</x:v>
      </x:c>
      <x:c r="L19" s="148" t="str">
        <x:v>Incluye redes sociales y otras importaciones automáticas. No está disponible para cuentas Gratis.</x:v>
      </x:c>
      <x:c r="M19" s="131" t="str">
        <x:v>No disponible en Gratis</x:v>
      </x:c>
      <x:c r="N19" s="154" t="str">
        <x:v>Solo administrador</x:v>
      </x:c>
      <x:c r="O19" s="154" t="str">
        <x:v>Móvil, web, API</x:v>
      </x:c>
      <x:c r="P19" s="154" t="str">
        <x:v>Lanzamiento móvil</x:v>
      </x:c>
      <x:c r="Q19" s="156" t="str">
        <x:v>Bloqueado por capacidad</x:v>
      </x:c>
      <x:c r="R19" s="156" t="str">
        <x:v>Backend</x:v>
      </x:c>
      <x:c r="S19" s="158" t="str">
        <x:v>No</x:v>
      </x:c>
      <x:c r="T19" s="158" t="str">
        <x:v>Plan Gratis v1</x:v>
      </x:c>
    </x:row>
    <x:row r="20" ht="42" hidden="0" customHeight="1">
      <x:c r="A20" s="129" t="str">
        <x:v>LIM-010</x:v>
      </x:c>
      <x:c r="B20" s="129" t="str">
        <x:v>Datos</x:v>
      </x:c>
      <x:c r="C20" s="130" t="str">
        <x:v>Datasets</x:v>
      </x:c>
      <x:c r="D20" s="129" t="str">
        <x:v>datasets.total</x:v>
      </x:c>
      <x:c r="E20" s="129" t="str">
        <x:v>Cuota visible</x:v>
      </x:c>
      <x:c r="F20" s="131" t="n">
        <x:v>5</x:v>
      </x:c>
      <x:c r="G20" s="129" t="str">
        <x:v>datasets</x:v>
      </x:c>
      <x:c r="H20" s="129" t="str">
        <x:v>Total</x:v>
      </x:c>
      <x:c r="I20" s="129" t="str">
        <x:v>No</x:v>
      </x:c>
      <x:c r="J20" s="146" t="str">
        <x:v>Aprobar</x:v>
      </x:c>
      <x:c r="K20" s="147" t="n">
        <x:v>5</x:v>
      </x:c>
      <x:c r="L20" s="148" t="str">
        <x:v>Puede existir fuera de un Espacio o vincularse con uno. El límite queda definido aunque la vista móvil siga oculta.</x:v>
      </x:c>
      <x:c r="M20" s="131" t="n">
        <x:v>5</x:v>
      </x:c>
      <x:c r="N20" s="154" t="str">
        <x:v>Futura</x:v>
      </x:c>
      <x:c r="O20" s="154" t="str">
        <x:v>Móvil, web, MCP</x:v>
      </x:c>
      <x:c r="P20" s="154" t="str">
        <x:v>Futura</x:v>
      </x:c>
      <x:c r="Q20" s="156" t="str">
        <x:v>Inactivo</x:v>
      </x:c>
      <x:c r="R20" s="156" t="str">
        <x:v>Base de datos</x:v>
      </x:c>
      <x:c r="S20" s="158" t="str">
        <x:v>No</x:v>
      </x:c>
      <x:c r="T20" s="158" t="str">
        <x:v>Al activar Datasets</x:v>
      </x:c>
    </x:row>
    <x:row r="21" ht="42" hidden="0" customHeight="1">
      <x:c r="A21" s="129" t="str">
        <x:v>LIM-011</x:v>
      </x:c>
      <x:c r="B21" s="129" t="str">
        <x:v>Datos</x:v>
      </x:c>
      <x:c r="C21" s="130" t="str">
        <x:v>Filas de datasets</x:v>
      </x:c>
      <x:c r="D21" s="129" t="str">
        <x:v>datasets.rows.total</x:v>
      </x:c>
      <x:c r="E21" s="129" t="str">
        <x:v>Cuota visible</x:v>
      </x:c>
      <x:c r="F21" s="131" t="n">
        <x:v>25000</x:v>
      </x:c>
      <x:c r="G21" s="129" t="str">
        <x:v>filas</x:v>
      </x:c>
      <x:c r="H21" s="129" t="str">
        <x:v>Total</x:v>
      </x:c>
      <x:c r="I21" s="129" t="str">
        <x:v>No</x:v>
      </x:c>
      <x:c r="J21" s="146" t="str">
        <x:v>Aprobar</x:v>
      </x:c>
      <x:c r="K21" s="147" t="n">
        <x:v>25000</x:v>
      </x:c>
      <x:c r="L21" s="148" t="str">
        <x:v>Las filas vinculadas al Codex permanecen sincronizadas en ambas direcciones.</x:v>
      </x:c>
      <x:c r="M21" s="131" t="n">
        <x:v>25000</x:v>
      </x:c>
      <x:c r="N21" s="154" t="str">
        <x:v>Futura</x:v>
      </x:c>
      <x:c r="O21" s="154" t="str">
        <x:v>Móvil, web, MCP</x:v>
      </x:c>
      <x:c r="P21" s="154" t="str">
        <x:v>Futura</x:v>
      </x:c>
      <x:c r="Q21" s="156" t="str">
        <x:v>Inactivo</x:v>
      </x:c>
      <x:c r="R21" s="156" t="str">
        <x:v>Base de datos</x:v>
      </x:c>
      <x:c r="S21" s="158" t="str">
        <x:v>No</x:v>
      </x:c>
      <x:c r="T21" s="158" t="str">
        <x:v>Al activar Datasets</x:v>
      </x:c>
    </x:row>
    <x:row r="22" ht="42" hidden="0" customHeight="1">
      <x:c r="A22" s="129" t="str">
        <x:v>LIM-012</x:v>
      </x:c>
      <x:c r="B22" s="129" t="str">
        <x:v>Datos</x:v>
      </x:c>
      <x:c r="C22" s="130" t="str">
        <x:v>Columnas por dataset</x:v>
      </x:c>
      <x:c r="D22" s="129" t="str">
        <x:v>datasets.columns.per_dataset</x:v>
      </x:c>
      <x:c r="E22" s="129" t="str">
        <x:v>Protección técnica</x:v>
      </x:c>
      <x:c r="F22" s="131" t="n">
        <x:v>100</x:v>
      </x:c>
      <x:c r="G22" s="129" t="str">
        <x:v>columnas</x:v>
      </x:c>
      <x:c r="H22" s="129" t="str">
        <x:v>Por dataset</x:v>
      </x:c>
      <x:c r="I22" s="129" t="str">
        <x:v>Sí</x:v>
      </x:c>
      <x:c r="J22" s="146" t="str">
        <x:v>Aprobar</x:v>
      </x:c>
      <x:c r="K22" s="147" t="n">
        <x:v>100</x:v>
      </x:c>
      <x:c r="L22" s="148" t="str">
        <x:v>Evita hojas inmanejables y cargas accidentales.</x:v>
      </x:c>
      <x:c r="M22" s="131" t="n">
        <x:v>100</x:v>
      </x:c>
      <x:c r="N22" s="154" t="str">
        <x:v>Futura</x:v>
      </x:c>
      <x:c r="O22" s="154" t="str">
        <x:v>Móvil, web, MCP</x:v>
      </x:c>
      <x:c r="P22" s="154" t="str">
        <x:v>Futura</x:v>
      </x:c>
      <x:c r="Q22" s="156" t="str">
        <x:v>Inactivo</x:v>
      </x:c>
      <x:c r="R22" s="156" t="str">
        <x:v>Base de datos</x:v>
      </x:c>
      <x:c r="S22" s="158" t="str">
        <x:v>No</x:v>
      </x:c>
      <x:c r="T22" s="158" t="str">
        <x:v>Al activar Datasets</x:v>
      </x:c>
    </x:row>
    <x:row r="23" ht="42" hidden="0" customHeight="1">
      <x:c r="A23" s="129" t="str">
        <x:v>LIM-013</x:v>
      </x:c>
      <x:c r="B23" s="129" t="str">
        <x:v>Datos</x:v>
      </x:c>
      <x:c r="C23" s="130" t="str">
        <x:v>Archivo de importación</x:v>
      </x:c>
      <x:c r="D23" s="129" t="str">
        <x:v>datasets.import_bytes</x:v>
      </x:c>
      <x:c r="E23" s="129" t="str">
        <x:v>Protección técnica</x:v>
      </x:c>
      <x:c r="F23" s="131" t="n">
        <x:v>25</x:v>
      </x:c>
      <x:c r="G23" s="129" t="str">
        <x:v>MB</x:v>
      </x:c>
      <x:c r="H23" s="129" t="str">
        <x:v>Por archivo</x:v>
      </x:c>
      <x:c r="I23" s="129" t="str">
        <x:v>Sí</x:v>
      </x:c>
      <x:c r="J23" s="146" t="str">
        <x:v>Aprobar</x:v>
      </x:c>
      <x:c r="K23" s="147" t="n">
        <x:v>25</x:v>
      </x:c>
      <x:c r="L23" s="148" t="str">
        <x:v>Se valida el tipo real del archivo y su contenido.</x:v>
      </x:c>
      <x:c r="M23" s="131" t="n">
        <x:v>25</x:v>
      </x:c>
      <x:c r="N23" s="154" t="str">
        <x:v>Futura</x:v>
      </x:c>
      <x:c r="O23" s="154" t="str">
        <x:v>Móvil, web, MCP</x:v>
      </x:c>
      <x:c r="P23" s="154" t="str">
        <x:v>Futura</x:v>
      </x:c>
      <x:c r="Q23" s="156" t="str">
        <x:v>Inactivo</x:v>
      </x:c>
      <x:c r="R23" s="156" t="str">
        <x:v>Backend y almacenamiento</x:v>
      </x:c>
      <x:c r="S23" s="158" t="str">
        <x:v>No</x:v>
      </x:c>
      <x:c r="T23" s="158" t="str">
        <x:v>Al activar Datasets</x:v>
      </x:c>
    </x:row>
    <x:row r="24" ht="42" hidden="0" customHeight="1">
      <x:c r="A24" s="129" t="str">
        <x:v>LIM-014</x:v>
      </x:c>
      <x:c r="B24" s="129" t="str">
        <x:v>Archivos</x:v>
      </x:c>
      <x:c r="C24" s="130" t="str">
        <x:v>Almacenamiento compartido</x:v>
      </x:c>
      <x:c r="D24" s="129" t="str">
        <x:v>storage.bytes</x:v>
      </x:c>
      <x:c r="E24" s="129" t="str">
        <x:v>Cuota visible</x:v>
      </x:c>
      <x:c r="F24" s="131" t="n">
        <x:v>300</x:v>
      </x:c>
      <x:c r="G24" s="129" t="str">
        <x:v>MB</x:v>
      </x:c>
      <x:c r="H24" s="129" t="str">
        <x:v>Total</x:v>
      </x:c>
      <x:c r="I24" s="129" t="str">
        <x:v>No</x:v>
      </x:c>
      <x:c r="J24" s="146" t="str">
        <x:v>Cambiar</x:v>
      </x:c>
      <x:c r="K24" s="147" t="n">
        <x:v>300</x:v>
      </x:c>
      <x:c r="L24" s="148" t="str">
        <x:v>Una sola bolsa suma imágenes, documentos, audio, video y adjuntos de notas. Evita cuotas superpuestas.</x:v>
      </x:c>
      <x:c r="M24" s="131" t="n">
        <x:v>300</x:v>
      </x:c>
      <x:c r="N24" s="154" t="str">
        <x:v>Activa</x:v>
      </x:c>
      <x:c r="O24" s="154" t="str">
        <x:v>Móvil, web, MCP</x:v>
      </x:c>
      <x:c r="P24" s="154" t="str">
        <x:v>Lanzamiento móvil</x:v>
      </x:c>
      <x:c r="Q24" s="156" t="str">
        <x:v>No instrumentado</x:v>
      </x:c>
      <x:c r="R24" s="156" t="str">
        <x:v>Almacenamiento y backend</x:v>
      </x:c>
      <x:c r="S24" s="158" t="str">
        <x:v>Sí</x:v>
      </x:c>
      <x:c r="T24" s="158" t="str">
        <x:v>Plan Gratis v1</x:v>
      </x:c>
    </x:row>
    <x:row r="25" ht="42" hidden="0" customHeight="1">
      <x:c r="A25" s="129" t="str">
        <x:v>LIM-015</x:v>
      </x:c>
      <x:c r="B25" s="129" t="str">
        <x:v>Archivos</x:v>
      </x:c>
      <x:c r="C25" s="130" t="str">
        <x:v>Imagen individual</x:v>
      </x:c>
      <x:c r="D25" s="129" t="str">
        <x:v>storage.image_bytes</x:v>
      </x:c>
      <x:c r="E25" s="129" t="str">
        <x:v>Protección técnica</x:v>
      </x:c>
      <x:c r="F25" s="131" t="n">
        <x:v>10</x:v>
      </x:c>
      <x:c r="G25" s="129" t="str">
        <x:v>MB</x:v>
      </x:c>
      <x:c r="H25" s="129" t="str">
        <x:v>Por archivo</x:v>
      </x:c>
      <x:c r="I25" s="129" t="str">
        <x:v>Sí</x:v>
      </x:c>
      <x:c r="J25" s="146" t="str">
        <x:v>Aprobar</x:v>
      </x:c>
      <x:c r="K25" s="147" t="n">
        <x:v>10</x:v>
      </x:c>
      <x:c r="L25" s="148" t="str">
        <x:v>Se valida antes de optimizar. Las versiones optimizadas no duplican la cuota del original.</x:v>
      </x:c>
      <x:c r="M25" s="131" t="n">
        <x:v>10</x:v>
      </x:c>
      <x:c r="N25" s="154" t="str">
        <x:v>Activa</x:v>
      </x:c>
      <x:c r="O25" s="154" t="str">
        <x:v>Móvil, web, MCP</x:v>
      </x:c>
      <x:c r="P25" s="154" t="str">
        <x:v>Lanzamiento móvil</x:v>
      </x:c>
      <x:c r="Q25" s="156" t="str">
        <x:v>No instrumentado</x:v>
      </x:c>
      <x:c r="R25" s="156" t="str">
        <x:v>Aplicación, backend y almacenamiento</x:v>
      </x:c>
      <x:c r="S25" s="158" t="str">
        <x:v>Solo al intervenir</x:v>
      </x:c>
      <x:c r="T25" s="158" t="str">
        <x:v>Plan Gratis v1</x:v>
      </x:c>
    </x:row>
    <x:row r="26" ht="42" hidden="0" customHeight="1">
      <x:c r="A26" s="129" t="str">
        <x:v>LIM-016</x:v>
      </x:c>
      <x:c r="B26" s="129" t="str">
        <x:v>Archivos</x:v>
      </x:c>
      <x:c r="C26" s="130" t="str">
        <x:v>Documento individual</x:v>
      </x:c>
      <x:c r="D26" s="129" t="str">
        <x:v>storage.document_bytes</x:v>
      </x:c>
      <x:c r="E26" s="129" t="str">
        <x:v>Protección técnica</x:v>
      </x:c>
      <x:c r="F26" s="131" t="n">
        <x:v>40</x:v>
      </x:c>
      <x:c r="G26" s="129" t="str">
        <x:v>MB</x:v>
      </x:c>
      <x:c r="H26" s="129" t="str">
        <x:v>Por archivo</x:v>
      </x:c>
      <x:c r="I26" s="129" t="str">
        <x:v>Sí</x:v>
      </x:c>
      <x:c r="J26" s="146" t="str">
        <x:v>Revisar</x:v>
      </x:c>
      <x:c r="K26" s="147" t="n">
        <x:v>40</x:v>
      </x:c>
      <x:c r="L26" s="148" t="str">
        <x:v>La aplicación móvil admite actualmente hasta 40 MB. Se valida antes de OCR, extracción o indexación.</x:v>
      </x:c>
      <x:c r="M26" s="131" t="n">
        <x:v>40</x:v>
      </x:c>
      <x:c r="N26" s="154" t="str">
        <x:v>Activa</x:v>
      </x:c>
      <x:c r="O26" s="154" t="str">
        <x:v>Móvil, web, MCP</x:v>
      </x:c>
      <x:c r="P26" s="154" t="str">
        <x:v>Lanzamiento móvil</x:v>
      </x:c>
      <x:c r="Q26" s="156" t="str">
        <x:v>No instrumentado</x:v>
      </x:c>
      <x:c r="R26" s="156" t="str">
        <x:v>Aplicación, backend y almacenamiento</x:v>
      </x:c>
      <x:c r="S26" s="158" t="str">
        <x:v>Solo al intervenir</x:v>
      </x:c>
      <x:c r="T26" s="158" t="str">
        <x:v>Plan Gratis v1</x:v>
      </x:c>
    </x:row>
    <x:row r="27" ht="42" hidden="0" customHeight="1">
      <x:c r="A27" s="129" t="str">
        <x:v>LIM-017</x:v>
      </x:c>
      <x:c r="B27" s="129" t="str">
        <x:v>Audio</x:v>
      </x:c>
      <x:c r="C27" s="130" t="str">
        <x:v>Audio individual</x:v>
      </x:c>
      <x:c r="D27" s="129" t="str">
        <x:v>storage.audio_bytes</x:v>
      </x:c>
      <x:c r="E27" s="129" t="str">
        <x:v>Protección técnica</x:v>
      </x:c>
      <x:c r="F27" s="131" t="n">
        <x:v>40</x:v>
      </x:c>
      <x:c r="G27" s="129" t="str">
        <x:v>MB</x:v>
      </x:c>
      <x:c r="H27" s="129" t="str">
        <x:v>Por archivo</x:v>
      </x:c>
      <x:c r="I27" s="129" t="str">
        <x:v>Sí</x:v>
      </x:c>
      <x:c r="J27" s="146" t="str">
        <x:v>Cambiar</x:v>
      </x:c>
      <x:c r="K27" s="147" t="n">
        <x:v>40</x:v>
      </x:c>
      <x:c r="L27" s="148" t="str">
        <x:v>El audio importado consume la bolsa general. La transcripción no está disponible para cuentas Gratis.</x:v>
      </x:c>
      <x:c r="M27" s="131" t="n">
        <x:v>40</x:v>
      </x:c>
      <x:c r="N27" s="154" t="str">
        <x:v>Activa</x:v>
      </x:c>
      <x:c r="O27" s="154" t="str">
        <x:v>Móvil, web, MCP</x:v>
      </x:c>
      <x:c r="P27" s="154" t="str">
        <x:v>Lanzamiento móvil</x:v>
      </x:c>
      <x:c r="Q27" s="156" t="str">
        <x:v>No instrumentado</x:v>
      </x:c>
      <x:c r="R27" s="156" t="str">
        <x:v>Aplicación, backend y almacenamiento</x:v>
      </x:c>
      <x:c r="S27" s="158" t="str">
        <x:v>Solo al intervenir</x:v>
      </x:c>
      <x:c r="T27" s="158" t="str">
        <x:v>Plan Gratis v1</x:v>
      </x:c>
    </x:row>
    <x:row r="28" ht="42" hidden="0" customHeight="1">
      <x:c r="A28" s="129" t="str">
        <x:v>LIM-018</x:v>
      </x:c>
      <x:c r="B28" s="129" t="str">
        <x:v>Documentos</x:v>
      </x:c>
      <x:c r="C28" s="130" t="str">
        <x:v>Páginas con OCR</x:v>
      </x:c>
      <x:c r="D28" s="129" t="str">
        <x:v>documents.ocr_pages</x:v>
      </x:c>
      <x:c r="E28" s="129" t="str">
        <x:v>Cuota visible</x:v>
      </x:c>
      <x:c r="F28" s="131" t="n">
        <x:v>100</x:v>
      </x:c>
      <x:c r="G28" s="129" t="str">
        <x:v>páginas</x:v>
      </x:c>
      <x:c r="H28" s="129" t="str">
        <x:v>Mes</x:v>
      </x:c>
      <x:c r="I28" s="129" t="str">
        <x:v>No</x:v>
      </x:c>
      <x:c r="J28" s="146" t="str">
        <x:v>Aprobar</x:v>
      </x:c>
      <x:c r="K28" s="147" t="n">
        <x:v>100</x:v>
      </x:c>
      <x:c r="L28" s="148" t="str">
        <x:v>Se contará solamente el procesamiento completado. La función todavía no está publicada en móvil.</x:v>
      </x:c>
      <x:c r="M28" s="131" t="n">
        <x:v>100</x:v>
      </x:c>
      <x:c r="N28" s="154" t="str">
        <x:v>Futura</x:v>
      </x:c>
      <x:c r="O28" s="154" t="str">
        <x:v>Móvil, web, API</x:v>
      </x:c>
      <x:c r="P28" s="154" t="str">
        <x:v>Futura</x:v>
      </x:c>
      <x:c r="Q28" s="156" t="str">
        <x:v>Inactivo</x:v>
      </x:c>
      <x:c r="R28" s="156" t="str">
        <x:v>Backend</x:v>
      </x:c>
      <x:c r="S28" s="158" t="str">
        <x:v>No</x:v>
      </x:c>
      <x:c r="T28" s="158" t="str">
        <x:v>Al activar OCR</x:v>
      </x:c>
    </x:row>
    <x:row r="29" ht="42" hidden="0" customHeight="1">
      <x:c r="A29" s="129" t="str">
        <x:v>LIM-019</x:v>
      </x:c>
      <x:c r="B29" s="129" t="str">
        <x:v>Memoria</x:v>
      </x:c>
      <x:c r="C29" s="130" t="str">
        <x:v>Contenido disponible en Memoria</x:v>
      </x:c>
      <x:c r="D29" s="129" t="str">
        <x:v>memory.source_tokens</x:v>
      </x:c>
      <x:c r="E29" s="129" t="str">
        <x:v>Cuota visible</x:v>
      </x:c>
      <x:c r="F29" s="131" t="n">
        <x:v>500000</x:v>
      </x:c>
      <x:c r="G29" s="129" t="str">
        <x:v>tokens internos</x:v>
      </x:c>
      <x:c r="H29" s="129" t="str">
        <x:v>Total</x:v>
      </x:c>
      <x:c r="I29" s="129" t="str">
        <x:v>No</x:v>
      </x:c>
      <x:c r="J29" s="146" t="str">
        <x:v>Aprobar</x:v>
      </x:c>
      <x:c r="K29" s="147" t="n">
        <x:v>500000</x:v>
      </x:c>
      <x:c r="L29" s="148" t="str">
        <x:v>La interfaz lo muestra como porcentaje. Solo cuenta contenido asociado a un Espacio.</x:v>
      </x:c>
      <x:c r="M29" s="131" t="n">
        <x:v>500000</x:v>
      </x:c>
      <x:c r="N29" s="154" t="str">
        <x:v>Activa</x:v>
      </x:c>
      <x:c r="O29" s="154" t="str">
        <x:v>Móvil, web, MCP</x:v>
      </x:c>
      <x:c r="P29" s="154" t="str">
        <x:v>Lanzamiento móvil</x:v>
      </x:c>
      <x:c r="Q29" s="156" t="str">
        <x:v>No instrumentado</x:v>
      </x:c>
      <x:c r="R29" s="156" t="str">
        <x:v>Backend</x:v>
      </x:c>
      <x:c r="S29" s="158" t="str">
        <x:v>Sí</x:v>
      </x:c>
      <x:c r="T29" s="158" t="str">
        <x:v>Plan Gratis v1</x:v>
      </x:c>
    </x:row>
    <x:row r="30" ht="42" hidden="0" customHeight="1">
      <x:c r="A30" s="129" t="str">
        <x:v>LIM-020</x:v>
      </x:c>
      <x:c r="B30" s="129" t="str">
        <x:v>Memoria</x:v>
      </x:c>
      <x:c r="C30" s="130" t="str">
        <x:v>Contenido nuevo o modificado</x:v>
      </x:c>
      <x:c r="D30" s="129" t="str">
        <x:v>memory.embedding_tokens</x:v>
      </x:c>
      <x:c r="E30" s="129" t="str">
        <x:v>Cuota visible</x:v>
      </x:c>
      <x:c r="F30" s="131" t="n">
        <x:v>250000</x:v>
      </x:c>
      <x:c r="G30" s="129" t="str">
        <x:v>tokens internos</x:v>
      </x:c>
      <x:c r="H30" s="129" t="str">
        <x:v>Mes</x:v>
      </x:c>
      <x:c r="I30" s="129" t="str">
        <x:v>No</x:v>
      </x:c>
      <x:c r="J30" s="146" t="str">
        <x:v>Aprobar</x:v>
      </x:c>
      <x:c r="K30" s="147" t="n">
        <x:v>250000</x:v>
      </x:c>
      <x:c r="L30" s="148" t="str">
        <x:v>Solo se procesa contenido vinculado con un Espacio. El Codex Global no se indexa.</x:v>
      </x:c>
      <x:c r="M30" s="131" t="n">
        <x:v>250000</x:v>
      </x:c>
      <x:c r="N30" s="154" t="str">
        <x:v>Activa</x:v>
      </x:c>
      <x:c r="O30" s="154" t="str">
        <x:v>Móvil, web, MCP</x:v>
      </x:c>
      <x:c r="P30" s="154" t="str">
        <x:v>Lanzamiento móvil</x:v>
      </x:c>
      <x:c r="Q30" s="156" t="str">
        <x:v>No instrumentado</x:v>
      </x:c>
      <x:c r="R30" s="156" t="str">
        <x:v>Backend</x:v>
      </x:c>
      <x:c r="S30" s="158" t="str">
        <x:v>Sí</x:v>
      </x:c>
      <x:c r="T30" s="158" t="str">
        <x:v>Plan Gratis v1</x:v>
      </x:c>
    </x:row>
    <x:row r="31" ht="42" hidden="0" customHeight="1">
      <x:c r="A31" s="129" t="str">
        <x:v>LIM-021</x:v>
      </x:c>
      <x:c r="B31" s="129" t="str">
        <x:v>Memoria</x:v>
      </x:c>
      <x:c r="C31" s="130" t="str">
        <x:v>Búsquedas en Memoria</x:v>
      </x:c>
      <x:c r="D31" s="129" t="str">
        <x:v>memory.searches</x:v>
      </x:c>
      <x:c r="E31" s="129" t="str">
        <x:v>Cuota visible</x:v>
      </x:c>
      <x:c r="F31" s="131" t="n">
        <x:v>1000</x:v>
      </x:c>
      <x:c r="G31" s="129" t="str">
        <x:v>búsquedas</x:v>
      </x:c>
      <x:c r="H31" s="129" t="str">
        <x:v>Mes</x:v>
      </x:c>
      <x:c r="I31" s="129" t="str">
        <x:v>No</x:v>
      </x:c>
      <x:c r="J31" s="146" t="str">
        <x:v>Aprobar</x:v>
      </x:c>
      <x:c r="K31" s="147" t="n">
        <x:v>1000</x:v>
      </x:c>
      <x:c r="L31" s="148" t="str">
        <x:v>Incluye recuperación semántica e híbrida dentro de Espacios.</x:v>
      </x:c>
      <x:c r="M31" s="131" t="n">
        <x:v>1000</x:v>
      </x:c>
      <x:c r="N31" s="154" t="str">
        <x:v>Activa</x:v>
      </x:c>
      <x:c r="O31" s="154" t="str">
        <x:v>Móvil, web, MCP</x:v>
      </x:c>
      <x:c r="P31" s="154" t="str">
        <x:v>Lanzamiento móvil</x:v>
      </x:c>
      <x:c r="Q31" s="156" t="str">
        <x:v>No instrumentado</x:v>
      </x:c>
      <x:c r="R31" s="156" t="str">
        <x:v>Backend</x:v>
      </x:c>
      <x:c r="S31" s="158" t="str">
        <x:v>Sí</x:v>
      </x:c>
      <x:c r="T31" s="158" t="str">
        <x:v>Plan Gratis v1</x:v>
      </x:c>
    </x:row>
    <x:row r="32" ht="42" hidden="0" customHeight="1">
      <x:c r="A32" s="129" t="str">
        <x:v>LIM-022</x:v>
      </x:c>
      <x:c r="B32" s="129" t="str">
        <x:v>IA</x:v>
      </x:c>
      <x:c r="C32" s="130" t="str">
        <x:v>Uso de IA generativa</x:v>
      </x:c>
      <x:c r="D32" s="129" t="str">
        <x:v>ai.weighted_units</x:v>
      </x:c>
      <x:c r="E32" s="129" t="str">
        <x:v>Disponibilidad</x:v>
      </x:c>
      <x:c r="F32" s="131" t="n">
        <x:v>0</x:v>
      </x:c>
      <x:c r="G32" s="129" t="str">
        <x:v>acciones</x:v>
      </x:c>
      <x:c r="H32" s="129" t="str">
        <x:v>Mes</x:v>
      </x:c>
      <x:c r="I32" s="129" t="str">
        <x:v>No</x:v>
      </x:c>
      <x:c r="J32" s="146" t="str">
        <x:v>Eliminar cuota</x:v>
      </x:c>
      <x:c r="K32" s="147" t="n">
        <x:v>0</x:v>
      </x:c>
      <x:c r="L32" s="148" t="str">
        <x:v>La generación con IA no está disponible para cuentas Gratis. No se presenta como una cuota 0 de 0.</x:v>
      </x:c>
      <x:c r="M32" s="131" t="str">
        <x:v>No disponible en Gratis</x:v>
      </x:c>
      <x:c r="N32" s="154" t="str">
        <x:v>Solo administrador</x:v>
      </x:c>
      <x:c r="O32" s="154" t="str">
        <x:v>Móvil, web, API</x:v>
      </x:c>
      <x:c r="P32" s="154" t="str">
        <x:v>Lanzamiento móvil</x:v>
      </x:c>
      <x:c r="Q32" s="156" t="str">
        <x:v>Bloqueado por capacidad</x:v>
      </x:c>
      <x:c r="R32" s="156" t="str">
        <x:v>Backend</x:v>
      </x:c>
      <x:c r="S32" s="158" t="str">
        <x:v>No</x:v>
      </x:c>
      <x:c r="T32" s="158" t="str">
        <x:v>Plan Gratis v1</x:v>
      </x:c>
    </x:row>
    <x:row r="33" ht="42" hidden="0" customHeight="1">
      <x:c r="A33" s="129" t="str">
        <x:v>LIM-023</x:v>
      </x:c>
      <x:c r="B33" s="129" t="str">
        <x:v>Memoria</x:v>
      </x:c>
      <x:c r="C33" s="130" t="str">
        <x:v>Costo interno de Memoria</x:v>
      </x:c>
      <x:c r="D33" s="129" t="str">
        <x:v>memory.cost_microusd</x:v>
      </x:c>
      <x:c r="E33" s="129" t="str">
        <x:v>Costo interno</x:v>
      </x:c>
      <x:c r="F33" s="131" t="n">
        <x:v>0.01</x:v>
      </x:c>
      <x:c r="G33" s="129" t="str">
        <x:v>USD</x:v>
      </x:c>
      <x:c r="H33" s="129" t="str">
        <x:v>Mes</x:v>
      </x:c>
      <x:c r="I33" s="129" t="str">
        <x:v>No</x:v>
      </x:c>
      <x:c r="J33" s="146" t="str">
        <x:v>Cambiar</x:v>
      </x:c>
      <x:c r="K33" s="147" t="n">
        <x:v>0.01</x:v>
      </x:c>
      <x:c r="L33" s="148" t="str">
        <x:v>Techo interno para embeddings y recuperación. No incluye generación con IA y no se muestra al usuario.</x:v>
      </x:c>
      <x:c r="M33" s="131" t="n">
        <x:v>0.01</x:v>
      </x:c>
      <x:c r="N33" s="154" t="str">
        <x:v>Interna</x:v>
      </x:c>
      <x:c r="O33" s="154" t="str">
        <x:v>Backend</x:v>
      </x:c>
      <x:c r="P33" s="154" t="str">
        <x:v>Lanzamiento móvil</x:v>
      </x:c>
      <x:c r="Q33" s="156" t="str">
        <x:v>No instrumentado</x:v>
      </x:c>
      <x:c r="R33" s="156" t="str">
        <x:v>Backend</x:v>
      </x:c>
      <x:c r="S33" s="158" t="str">
        <x:v>No</x:v>
      </x:c>
      <x:c r="T33" s="158" t="str">
        <x:v>Plan Gratis v1</x:v>
      </x:c>
    </x:row>
    <x:row r="34" ht="42" hidden="0" customHeight="1">
      <x:c r="A34" s="129" t="str">
        <x:v>LIM-024</x:v>
      </x:c>
      <x:c r="B34" s="129" t="str">
        <x:v>Funciones avanzadas</x:v>
      </x:c>
      <x:c r="C34" s="130" t="str">
        <x:v>Uso de funciones avanzadas</x:v>
      </x:c>
      <x:c r="D34" s="129" t="str">
        <x:v>mcp.weighted_units</x:v>
      </x:c>
      <x:c r="E34" s="129" t="str">
        <x:v>Cuota visible</x:v>
      </x:c>
      <x:c r="F34" s="131" t="n">
        <x:v>150</x:v>
      </x:c>
      <x:c r="G34" s="129" t="str">
        <x:v>unidades</x:v>
      </x:c>
      <x:c r="H34" s="129" t="str">
        <x:v>Mes</x:v>
      </x:c>
      <x:c r="I34" s="129" t="str">
        <x:v>No</x:v>
      </x:c>
      <x:c r="J34" s="146" t="str">
        <x:v>Aprobar</x:v>
      </x:c>
      <x:c r="K34" s="147" t="n">
        <x:v>150</x:v>
      </x:c>
      <x:c r="L34" s="148" t="str">
        <x:v>Lecturas, escrituras, procesos masivos y servicios externos pueden tener pesos distintos.</x:v>
      </x:c>
      <x:c r="M34" s="131" t="n">
        <x:v>150</x:v>
      </x:c>
      <x:c r="N34" s="154" t="str">
        <x:v>Activa</x:v>
      </x:c>
      <x:c r="O34" s="154" t="str">
        <x:v>MCP</x:v>
      </x:c>
      <x:c r="P34" s="154" t="str">
        <x:v>Lanzamiento móvil</x:v>
      </x:c>
      <x:c r="Q34" s="156" t="str">
        <x:v>No instrumentado</x:v>
      </x:c>
      <x:c r="R34" s="156" t="str">
        <x:v>Backend MCP</x:v>
      </x:c>
      <x:c r="S34" s="158" t="str">
        <x:v>Fuera de la app</x:v>
      </x:c>
      <x:c r="T34" s="158" t="str">
        <x:v>Plan Gratis v1</x:v>
      </x:c>
    </x:row>
    <x:row r="35" ht="42" hidden="0" customHeight="1">
      <x:c r="A35" s="129" t="str">
        <x:v>LIM-025</x:v>
      </x:c>
      <x:c r="B35" s="129" t="str">
        <x:v>Funciones avanzadas</x:v>
      </x:c>
      <x:c r="C35" s="130" t="str">
        <x:v>Registros por operación masiva</x:v>
      </x:c>
      <x:c r="D35" s="129" t="str">
        <x:v>mcp.bulk_records</x:v>
      </x:c>
      <x:c r="E35" s="129" t="str">
        <x:v>Protección técnica</x:v>
      </x:c>
      <x:c r="F35" s="131" t="n">
        <x:v>100</x:v>
      </x:c>
      <x:c r="G35" s="129" t="str">
        <x:v>registros</x:v>
      </x:c>
      <x:c r="H35" s="129" t="str">
        <x:v>Por llamada</x:v>
      </x:c>
      <x:c r="I35" s="129" t="str">
        <x:v>Sí</x:v>
      </x:c>
      <x:c r="J35" s="146" t="str">
        <x:v>Aprobar</x:v>
      </x:c>
      <x:c r="K35" s="147" t="n">
        <x:v>100</x:v>
      </x:c>
      <x:c r="L35" s="148" t="str">
        <x:v>Una operación mayor debe dividirse y conservar idempotencia.</x:v>
      </x:c>
      <x:c r="M35" s="131" t="n">
        <x:v>100</x:v>
      </x:c>
      <x:c r="N35" s="154" t="str">
        <x:v>Activa</x:v>
      </x:c>
      <x:c r="O35" s="154" t="str">
        <x:v>MCP</x:v>
      </x:c>
      <x:c r="P35" s="154" t="str">
        <x:v>Lanzamiento móvil</x:v>
      </x:c>
      <x:c r="Q35" s="156" t="str">
        <x:v>No instrumentado</x:v>
      </x:c>
      <x:c r="R35" s="156" t="str">
        <x:v>Backend MCP</x:v>
      </x:c>
      <x:c r="S35" s="158" t="str">
        <x:v>Solo al intervenir</x:v>
      </x:c>
      <x:c r="T35" s="158" t="str">
        <x:v>Plan Gratis v1</x:v>
      </x:c>
    </x:row>
    <x:row r="36" ht="42" hidden="0" customHeight="1">
      <x:c r="A36" s="129" t="str">
        <x:v>LIM-026</x:v>
      </x:c>
      <x:c r="B36" s="129" t="str">
        <x:v>Fuentes</x:v>
      </x:c>
      <x:c r="C36" s="130" t="str">
        <x:v>Extracciones web o sociales</x:v>
      </x:c>
      <x:c r="D36" s="129" t="str">
        <x:v>extractions.total</x:v>
      </x:c>
      <x:c r="E36" s="129" t="str">
        <x:v>Disponibilidad</x:v>
      </x:c>
      <x:c r="F36" s="131" t="n">
        <x:v>0</x:v>
      </x:c>
      <x:c r="G36" s="129" t="str">
        <x:v>extracciones</x:v>
      </x:c>
      <x:c r="H36" s="129" t="str">
        <x:v>Mes</x:v>
      </x:c>
      <x:c r="I36" s="129" t="str">
        <x:v>No</x:v>
      </x:c>
      <x:c r="J36" s="146" t="str">
        <x:v>Cambiar</x:v>
      </x:c>
      <x:c r="K36" s="147" t="n">
        <x:v>0</x:v>
      </x:c>
      <x:c r="L36" s="148" t="str">
        <x:v>Descargar y procesar contenido externo no está disponible para cuentas Gratis.</x:v>
      </x:c>
      <x:c r="M36" s="131" t="str">
        <x:v>No disponible en Gratis</x:v>
      </x:c>
      <x:c r="N36" s="154" t="str">
        <x:v>Deshabilitada</x:v>
      </x:c>
      <x:c r="O36" s="154" t="str">
        <x:v>Móvil, web, MCP, API</x:v>
      </x:c>
      <x:c r="P36" s="154" t="str">
        <x:v>Lanzamiento móvil</x:v>
      </x:c>
      <x:c r="Q36" s="156" t="str">
        <x:v>Bloqueado por capacidad</x:v>
      </x:c>
      <x:c r="R36" s="156" t="str">
        <x:v>Backend</x:v>
      </x:c>
      <x:c r="S36" s="158" t="str">
        <x:v>No</x:v>
      </x:c>
      <x:c r="T36" s="158" t="str">
        <x:v>Plan Gratis v1</x:v>
      </x:c>
    </x:row>
    <x:row r="37" ht="42" hidden="0" customHeight="1">
      <x:c r="A37" s="129" t="str">
        <x:v>LIM-027</x:v>
      </x:c>
      <x:c r="B37" s="129" t="str">
        <x:v>Automatización</x:v>
      </x:c>
      <x:c r="C37" s="130" t="str">
        <x:v>Automatizaciones activas</x:v>
      </x:c>
      <x:c r="D37" s="129" t="str">
        <x:v>automations.active</x:v>
      </x:c>
      <x:c r="E37" s="129" t="str">
        <x:v>Disponibilidad</x:v>
      </x:c>
      <x:c r="F37" s="131" t="n">
        <x:v>0</x:v>
      </x:c>
      <x:c r="G37" s="129" t="str">
        <x:v>automatizaciones</x:v>
      </x:c>
      <x:c r="H37" s="129" t="str">
        <x:v>Total</x:v>
      </x:c>
      <x:c r="I37" s="129" t="str">
        <x:v>No</x:v>
      </x:c>
      <x:c r="J37" s="146" t="str">
        <x:v>Cambiar</x:v>
      </x:c>
      <x:c r="K37" s="147" t="n">
        <x:v>0</x:v>
      </x:c>
      <x:c r="L37" s="148" t="str">
        <x:v>Las automatizaciones no forman parte del Plan Gratis. Los recordatorios locales sin procesamiento externo se evalúan aparte.</x:v>
      </x:c>
      <x:c r="M37" s="131" t="str">
        <x:v>No disponible en Gratis</x:v>
      </x:c>
      <x:c r="N37" s="154" t="str">
        <x:v>Deshabilitada</x:v>
      </x:c>
      <x:c r="O37" s="154" t="str">
        <x:v>Web, MCP</x:v>
      </x:c>
      <x:c r="P37" s="154" t="str">
        <x:v>Futura</x:v>
      </x:c>
      <x:c r="Q37" s="156" t="str">
        <x:v>Inactivo</x:v>
      </x:c>
      <x:c r="R37" s="156" t="str">
        <x:v>Backend</x:v>
      </x:c>
      <x:c r="S37" s="158" t="str">
        <x:v>No</x:v>
      </x:c>
      <x:c r="T37" s="158" t="str">
        <x:v>Al publicar Automatizaciones</x:v>
      </x:c>
    </x:row>
    <x:row r="38" ht="42" hidden="0" customHeight="1">
      <x:c r="A38" s="129" t="str">
        <x:v>LIM-028</x:v>
      </x:c>
      <x:c r="B38" s="129" t="str">
        <x:v>Automatización</x:v>
      </x:c>
      <x:c r="C38" s="130" t="str">
        <x:v>Ejecuciones automáticas</x:v>
      </x:c>
      <x:c r="D38" s="129" t="str">
        <x:v>automations.runs</x:v>
      </x:c>
      <x:c r="E38" s="129" t="str">
        <x:v>Disponibilidad</x:v>
      </x:c>
      <x:c r="F38" s="131" t="n">
        <x:v>0</x:v>
      </x:c>
      <x:c r="G38" s="129" t="str">
        <x:v>ejecuciones</x:v>
      </x:c>
      <x:c r="H38" s="129" t="str">
        <x:v>Mes</x:v>
      </x:c>
      <x:c r="I38" s="129" t="str">
        <x:v>No</x:v>
      </x:c>
      <x:c r="J38" s="146" t="str">
        <x:v>Cambiar</x:v>
      </x:c>
      <x:c r="K38" s="147" t="n">
        <x:v>0</x:v>
      </x:c>
      <x:c r="L38" s="148" t="str">
        <x:v>Las ejecuciones automáticas no forman parte del Plan Gratis.</x:v>
      </x:c>
      <x:c r="M38" s="131" t="str">
        <x:v>No disponible en Gratis</x:v>
      </x:c>
      <x:c r="N38" s="154" t="str">
        <x:v>Deshabilitada</x:v>
      </x:c>
      <x:c r="O38" s="154" t="str">
        <x:v>Web, MCP</x:v>
      </x:c>
      <x:c r="P38" s="154" t="str">
        <x:v>Futura</x:v>
      </x:c>
      <x:c r="Q38" s="156" t="str">
        <x:v>Inactivo</x:v>
      </x:c>
      <x:c r="R38" s="156" t="str">
        <x:v>Backend</x:v>
      </x:c>
      <x:c r="S38" s="158" t="str">
        <x:v>No</x:v>
      </x:c>
      <x:c r="T38" s="158" t="str">
        <x:v>Al publicar Automatizaciones</x:v>
      </x:c>
    </x:row>
    <x:row r="39" ht="42" hidden="0" customHeight="1">
      <x:c r="A39" s="129" t="str">
        <x:v>LIM-029</x:v>
      </x:c>
      <x:c r="B39" s="129" t="str">
        <x:v>Portabilidad</x:v>
      </x:c>
      <x:c r="C39" s="130" t="str">
        <x:v>Exportaciones</x:v>
      </x:c>
      <x:c r="D39" s="129" t="str">
        <x:v>exports.total</x:v>
      </x:c>
      <x:c r="E39" s="129" t="str">
        <x:v>Cuota visible</x:v>
      </x:c>
      <x:c r="F39" s="131" t="n">
        <x:v>10</x:v>
      </x:c>
      <x:c r="G39" s="129" t="str">
        <x:v>exportaciones</x:v>
      </x:c>
      <x:c r="H39" s="129" t="str">
        <x:v>Mes</x:v>
      </x:c>
      <x:c r="I39" s="129" t="str">
        <x:v>No</x:v>
      </x:c>
      <x:c r="J39" s="146" t="str">
        <x:v>Mantener futura</x:v>
      </x:c>
      <x:c r="K39" s="147" t="n">
        <x:v>10</x:v>
      </x:c>
      <x:c r="L39" s="148" t="str">
        <x:v>La función todavía no está integrada. El límite no cuenta hasta que se publique.</x:v>
      </x:c>
      <x:c r="M39" s="131" t="n">
        <x:v>10</x:v>
      </x:c>
      <x:c r="N39" s="154" t="str">
        <x:v>Futura</x:v>
      </x:c>
      <x:c r="O39" s="154" t="str">
        <x:v>Móvil, web</x:v>
      </x:c>
      <x:c r="P39" s="154" t="str">
        <x:v>Futura</x:v>
      </x:c>
      <x:c r="Q39" s="156" t="str">
        <x:v>Inactivo</x:v>
      </x:c>
      <x:c r="R39" s="156" t="str">
        <x:v>Backend</x:v>
      </x:c>
      <x:c r="S39" s="158" t="str">
        <x:v>No</x:v>
      </x:c>
      <x:c r="T39" s="158" t="str">
        <x:v>Al activar Exportaciones</x:v>
      </x:c>
    </x:row>
    <x:row r="40" ht="42" hidden="0" customHeight="1">
      <x:c r="A40" s="129" t="str">
        <x:v>LIM-030</x:v>
      </x:c>
      <x:c r="B40" s="129" t="str">
        <x:v>Compartir</x:v>
      </x:c>
      <x:c r="C40" s="130" t="str">
        <x:v>Enlaces compartidos</x:v>
      </x:c>
      <x:c r="D40" s="129" t="str">
        <x:v>shares.active</x:v>
      </x:c>
      <x:c r="E40" s="129" t="str">
        <x:v>Cuota visible</x:v>
      </x:c>
      <x:c r="F40" s="131" t="n">
        <x:v>10</x:v>
      </x:c>
      <x:c r="G40" s="129" t="str">
        <x:v>enlaces</x:v>
      </x:c>
      <x:c r="H40" s="129" t="str">
        <x:v>Total</x:v>
      </x:c>
      <x:c r="I40" s="129" t="str">
        <x:v>No</x:v>
      </x:c>
      <x:c r="J40" s="146" t="str">
        <x:v>Mantener futura</x:v>
      </x:c>
      <x:c r="K40" s="147" t="n">
        <x:v>10</x:v>
      </x:c>
      <x:c r="L40" s="148" t="str">
        <x:v>La función todavía no está integrada. Cada enlace deberá poder revocarse y respetar la privacidad del recurso.</x:v>
      </x:c>
      <x:c r="M40" s="131" t="n">
        <x:v>10</x:v>
      </x:c>
      <x:c r="N40" s="154" t="str">
        <x:v>Futura</x:v>
      </x:c>
      <x:c r="O40" s="154" t="str">
        <x:v>Móvil, web</x:v>
      </x:c>
      <x:c r="P40" s="154" t="str">
        <x:v>Futura</x:v>
      </x:c>
      <x:c r="Q40" s="156" t="str">
        <x:v>Inactivo</x:v>
      </x:c>
      <x:c r="R40" s="156" t="str">
        <x:v>Base de datos y backend</x:v>
      </x:c>
      <x:c r="S40" s="158" t="str">
        <x:v>No</x:v>
      </x:c>
      <x:c r="T40" s="158" t="str">
        <x:v>Al activar Compartir</x:v>
      </x:c>
    </x:row>
    <x:row r="41" ht="42" hidden="0" customHeight="1">
      <x:c r="A41" s="129" t="str">
        <x:v>LIM-031</x:v>
      </x:c>
      <x:c r="B41" s="129" t="str">
        <x:v>Historial</x:v>
      </x:c>
      <x:c r="C41" s="130" t="str">
        <x:v>Papelera</x:v>
      </x:c>
      <x:c r="D41" s="129" t="str">
        <x:v>retention.trash_days</x:v>
      </x:c>
      <x:c r="E41" s="129" t="str">
        <x:v>Eliminado</x:v>
      </x:c>
      <x:c r="F41" s="131"/>
      <x:c r="G41" s="129" t="str">
        <x:v>días</x:v>
      </x:c>
      <x:c r="H41" s="129" t="str">
        <x:v>No aplica</x:v>
      </x:c>
      <x:c r="I41" s="129" t="str">
        <x:v>No</x:v>
      </x:c>
      <x:c r="J41" s="146" t="str">
        <x:v>Eliminar</x:v>
      </x:c>
      <x:c r="K41" s="147"/>
      <x:c r="L41" s="148" t="str">
        <x:v>No existe papelera en el alcance actual. La fila se conserva únicamente para documentar la decisión.</x:v>
      </x:c>
      <x:c r="M41" s="131" t="str">
        <x:v>No aplica</x:v>
      </x:c>
      <x:c r="N41" s="154" t="str">
        <x:v>Eliminada</x:v>
      </x:c>
      <x:c r="O41" s="154" t="str">
        <x:v>Ninguno</x:v>
      </x:c>
      <x:c r="P41" s="154" t="str">
        <x:v>No aplica</x:v>
      </x:c>
      <x:c r="Q41" s="156" t="str">
        <x:v>Inactivo</x:v>
      </x:c>
      <x:c r="R41" s="156" t="str">
        <x:v>Ninguno</x:v>
      </x:c>
      <x:c r="S41" s="158" t="str">
        <x:v>No</x:v>
      </x:c>
      <x:c r="T41" s="158" t="str">
        <x:v>No aplica</x:v>
      </x:c>
    </x:row>
    <x:row r="42" ht="42" hidden="0" customHeight="1">
      <x:c r="A42" s="129" t="str">
        <x:v>LIM-032</x:v>
      </x:c>
      <x:c r="B42" s="129" t="str">
        <x:v>Historial</x:v>
      </x:c>
      <x:c r="C42" s="130" t="str">
        <x:v>Versiones por documento</x:v>
      </x:c>
      <x:c r="D42" s="129" t="str">
        <x:v>retention.document_versions</x:v>
      </x:c>
      <x:c r="E42" s="129" t="str">
        <x:v>Cuota visible</x:v>
      </x:c>
      <x:c r="F42" s="131" t="n">
        <x:v>50</x:v>
      </x:c>
      <x:c r="G42" s="129" t="str">
        <x:v>versiones</x:v>
      </x:c>
      <x:c r="H42" s="129" t="str">
        <x:v>Por documento</x:v>
      </x:c>
      <x:c r="I42" s="129" t="str">
        <x:v>No</x:v>
      </x:c>
      <x:c r="J42" s="146" t="str">
        <x:v>Aprobar para futuro</x:v>
      </x:c>
      <x:c r="K42" s="147" t="n">
        <x:v>50</x:v>
      </x:c>
      <x:c r="L42" s="148" t="str">
        <x:v>El historial de revisiones todavía no está implementado. No debe mostrarse como una capacidad activa.</x:v>
      </x:c>
      <x:c r="M42" s="131" t="n">
        <x:v>50</x:v>
      </x:c>
      <x:c r="N42" s="154" t="str">
        <x:v>Futura</x:v>
      </x:c>
      <x:c r="O42" s="154" t="str">
        <x:v>Móvil, web</x:v>
      </x:c>
      <x:c r="P42" s="154" t="str">
        <x:v>Futura</x:v>
      </x:c>
      <x:c r="Q42" s="156" t="str">
        <x:v>Inactivo</x:v>
      </x:c>
      <x:c r="R42" s="156" t="str">
        <x:v>Base de datos</x:v>
      </x:c>
      <x:c r="S42" s="158" t="str">
        <x:v>No</x:v>
      </x:c>
      <x:c r="T42" s="158" t="str">
        <x:v>Al activar Versiones</x:v>
      </x:c>
    </x:row>
    <x:row r="43" ht="42" hidden="0" customHeight="1">
      <x:c r="A43" s="129" t="str">
        <x:v>LIM-033</x:v>
      </x:c>
      <x:c r="B43" s="129" t="str">
        <x:v>Mapas</x:v>
      </x:c>
      <x:c r="C43" s="130" t="str">
        <x:v>Búsquedas de lugares</x:v>
      </x:c>
      <x:c r="D43" s="129" t="str">
        <x:v>maps.searches</x:v>
      </x:c>
      <x:c r="E43" s="129" t="str">
        <x:v>Cuota visible</x:v>
      </x:c>
      <x:c r="F43" s="131" t="n">
        <x:v>100</x:v>
      </x:c>
      <x:c r="G43" s="129" t="str">
        <x:v>búsquedas</x:v>
      </x:c>
      <x:c r="H43" s="129" t="str">
        <x:v>Mes</x:v>
      </x:c>
      <x:c r="I43" s="129" t="str">
        <x:v>No</x:v>
      </x:c>
      <x:c r="J43" s="146" t="str">
        <x:v>Cambiar</x:v>
      </x:c>
      <x:c r="K43" s="147" t="n">
        <x:v>100</x:v>
      </x:c>
      <x:c r="L43" s="148" t="str">
        <x:v>Incluye geocodificación y asociación de puntos de interés. Ya pasa por el backend y puede medirse allí.</x:v>
      </x:c>
      <x:c r="M43" s="131" t="n">
        <x:v>100</x:v>
      </x:c>
      <x:c r="N43" s="154" t="str">
        <x:v>Activa</x:v>
      </x:c>
      <x:c r="O43" s="154" t="str">
        <x:v>Móvil, web, API</x:v>
      </x:c>
      <x:c r="P43" s="154" t="str">
        <x:v>Lanzamiento móvil</x:v>
      </x:c>
      <x:c r="Q43" s="156" t="str">
        <x:v>No instrumentado</x:v>
      </x:c>
      <x:c r="R43" s="156" t="str">
        <x:v>Backend</x:v>
      </x:c>
      <x:c r="S43" s="158" t="str">
        <x:v>Sí</x:v>
      </x:c>
      <x:c r="T43" s="158" t="str">
        <x:v>Plan Gratis v1</x:v>
      </x:c>
    </x:row>
    <x:row r="44" ht="42" hidden="0" customHeight="1">
      <x:c r="A44" s="129" t="str">
        <x:v>LIM-034</x:v>
      </x:c>
      <x:c r="B44" s="129" t="str">
        <x:v>Mapas</x:v>
      </x:c>
      <x:c r="C44" s="130" t="str">
        <x:v>Rutas calculadas</x:v>
      </x:c>
      <x:c r="D44" s="129" t="str">
        <x:v>maps.routes</x:v>
      </x:c>
      <x:c r="E44" s="129" t="str">
        <x:v>Cuota visible</x:v>
      </x:c>
      <x:c r="F44" s="131" t="n">
        <x:v>100</x:v>
      </x:c>
      <x:c r="G44" s="129" t="str">
        <x:v>rutas</x:v>
      </x:c>
      <x:c r="H44" s="129" t="str">
        <x:v>Mes</x:v>
      </x:c>
      <x:c r="I44" s="129" t="str">
        <x:v>No</x:v>
      </x:c>
      <x:c r="J44" s="146" t="str">
        <x:v>Cambiar</x:v>
      </x:c>
      <x:c r="K44" s="147" t="n">
        <x:v>100</x:v>
      </x:c>
      <x:c r="L44" s="148" t="str">
        <x:v>La app llama al proveedor directamente. La cuota por usuario podrá aplicarse cuando las rutas pasen por el backend.</x:v>
      </x:c>
      <x:c r="M44" s="131" t="n">
        <x:v>100</x:v>
      </x:c>
      <x:c r="N44" s="154" t="str">
        <x:v>Activa</x:v>
      </x:c>
      <x:c r="O44" s="154" t="str">
        <x:v>Móvil, web</x:v>
      </x:c>
      <x:c r="P44" s="154" t="str">
        <x:v>Lanzamiento móvil</x:v>
      </x:c>
      <x:c r="Q44" s="156" t="str">
        <x:v>Modo observación</x:v>
      </x:c>
      <x:c r="R44" s="156" t="str">
        <x:v>Backend pendiente; hoy proveedor directo</x:v>
      </x:c>
      <x:c r="S44" s="158" t="str">
        <x:v>Sí</x:v>
      </x:c>
      <x:c r="T44" s="158" t="str">
        <x:v>Después del proxy de rutas</x:v>
      </x:c>
    </x:row>
    <x:row r="45" ht="42" hidden="0" customHeight="1">
      <x:c r="A45" s="135" t="str">
        <x:v>LIM-035</x:v>
      </x:c>
      <x:c r="B45" s="135" t="str">
        <x:v>Mapas</x:v>
      </x:c>
      <x:c r="C45" s="136" t="str">
        <x:v>Vértices por polígono</x:v>
      </x:c>
      <x:c r="D45" s="135" t="str">
        <x:v>maps.polygon_vertices</x:v>
      </x:c>
      <x:c r="E45" s="135" t="str">
        <x:v>Protección técnica</x:v>
      </x:c>
      <x:c r="F45" s="137" t="n">
        <x:v>100</x:v>
      </x:c>
      <x:c r="G45" s="135" t="str">
        <x:v>vértices</x:v>
      </x:c>
      <x:c r="H45" s="135" t="str">
        <x:v>Por polígono</x:v>
      </x:c>
      <x:c r="I45" s="135" t="str">
        <x:v>Sí</x:v>
      </x:c>
      <x:c r="J45" s="149" t="str">
        <x:v>Cambiar</x:v>
      </x:c>
      <x:c r="K45" s="150" t="n">
        <x:v>100</x:v>
      </x:c>
      <x:c r="L45" s="151" t="str">
        <x:v>Los límites administrativos oficiales pueden conservar geometrías curadas por separado. La interfaz móvil puede tener un umbral menor para edición manual.</x:v>
      </x:c>
      <x:c r="M45" s="137" t="n">
        <x:v>100</x:v>
      </x:c>
      <x:c r="N45" s="154" t="str">
        <x:v>Activa</x:v>
      </x:c>
      <x:c r="O45" s="154" t="str">
        <x:v>Móvil, web, MCP</x:v>
      </x:c>
      <x:c r="P45" s="154" t="str">
        <x:v>Lanzamiento móvil</x:v>
      </x:c>
      <x:c r="Q45" s="156" t="str">
        <x:v>No instrumentado</x:v>
      </x:c>
      <x:c r="R45" s="156" t="str">
        <x:v>Base de datos</x:v>
      </x:c>
      <x:c r="S45" s="158" t="str">
        <x:v>Solo al intervenir</x:v>
      </x:c>
      <x:c r="T45" s="158" t="str">
        <x:v>Plan Gratis v1</x:v>
      </x:c>
    </x:row>
    <x:row r="46" ht="42" customHeight="1">
      <x:c r="A46" s="141" t="str">
        <x:v>LIM-036</x:v>
      </x:c>
      <x:c r="B46" s="141" t="str">
        <x:v>Espacios</x:v>
      </x:c>
      <x:c r="C46" s="142" t="str">
        <x:v>Elementos vinculados por Espacio</x:v>
      </x:c>
      <x:c r="D46" s="141" t="str">
        <x:v>spaces.items.per_space</x:v>
      </x:c>
      <x:c r="E46" s="141" t="str">
        <x:v>Protección técnica</x:v>
      </x:c>
      <x:c r="F46" s="160" t="n">
        <x:v>500</x:v>
      </x:c>
      <x:c r="G46" s="141" t="str">
        <x:v>elementos</x:v>
      </x:c>
      <x:c r="H46" s="141" t="str">
        <x:v>Por Espacio</x:v>
      </x:c>
      <x:c r="I46" s="141" t="str">
        <x:v>Sí</x:v>
      </x:c>
      <x:c r="J46" s="152" t="str">
        <x:v>Revisar</x:v>
      </x:c>
      <x:c r="K46" s="161" t="n">
        <x:v>500</x:v>
      </x:c>
      <x:c r="L46" s="153" t="str">
        <x:v>Evita que un solo Espacio concentre una cantidad inmanejable de referencias.</x:v>
      </x:c>
      <x:c r="M46" s="160" t="n">
        <x:v>500</x:v>
      </x:c>
      <x:c r="N46" s="154" t="str">
        <x:v>Activa</x:v>
      </x:c>
      <x:c r="O46" s="154" t="str">
        <x:v>Móvil, web, MCP</x:v>
      </x:c>
      <x:c r="P46" s="154" t="str">
        <x:v>Lanzamiento móvil</x:v>
      </x:c>
      <x:c r="Q46" s="156" t="str">
        <x:v>No instrumentado</x:v>
      </x:c>
      <x:c r="R46" s="156" t="str">
        <x:v>Base de datos</x:v>
      </x:c>
      <x:c r="S46" s="158" t="str">
        <x:v>Solo al intervenir</x:v>
      </x:c>
      <x:c r="T46" s="158" t="str">
        <x:v>Plan Gratis v1</x:v>
      </x:c>
    </x:row>
    <x:row r="47" ht="42" customHeight="1">
      <x:c r="A47" s="141" t="str">
        <x:v>LIM-037</x:v>
      </x:c>
      <x:c r="B47" s="141" t="str">
        <x:v>Espacios</x:v>
      </x:c>
      <x:c r="C47" s="142" t="str">
        <x:v>Bloques escritos por Espacio</x:v>
      </x:c>
      <x:c r="D47" s="141" t="str">
        <x:v>spaces.blocks.per_space</x:v>
      </x:c>
      <x:c r="E47" s="141" t="str">
        <x:v>Protección técnica</x:v>
      </x:c>
      <x:c r="F47" s="160" t="n">
        <x:v>10000</x:v>
      </x:c>
      <x:c r="G47" s="141" t="str">
        <x:v>bloques</x:v>
      </x:c>
      <x:c r="H47" s="141" t="str">
        <x:v>Por Espacio</x:v>
      </x:c>
      <x:c r="I47" s="141" t="str">
        <x:v>Sí</x:v>
      </x:c>
      <x:c r="J47" s="152" t="str">
        <x:v>Revisar</x:v>
      </x:c>
      <x:c r="K47" s="161" t="n">
        <x:v>10000</x:v>
      </x:c>
      <x:c r="L47" s="153" t="str">
        <x:v>Protege la edición de documentos extensos sin limitar el número de palabras de manera artificial.</x:v>
      </x:c>
      <x:c r="M47" s="160" t="n">
        <x:v>10000</x:v>
      </x:c>
      <x:c r="N47" s="154" t="str">
        <x:v>Activa</x:v>
      </x:c>
      <x:c r="O47" s="154" t="str">
        <x:v>Móvil, web, MCP</x:v>
      </x:c>
      <x:c r="P47" s="154" t="str">
        <x:v>Lanzamiento móvil</x:v>
      </x:c>
      <x:c r="Q47" s="156" t="str">
        <x:v>No instrumentado</x:v>
      </x:c>
      <x:c r="R47" s="156" t="str">
        <x:v>Base de datos y backend</x:v>
      </x:c>
      <x:c r="S47" s="158" t="str">
        <x:v>Solo al intervenir</x:v>
      </x:c>
      <x:c r="T47" s="158" t="str">
        <x:v>Plan Gratis v1</x:v>
      </x:c>
    </x:row>
    <x:row r="48" ht="42" customHeight="1">
      <x:c r="A48" s="141" t="str">
        <x:v>LIM-038</x:v>
      </x:c>
      <x:c r="B48" s="141" t="str">
        <x:v>Espacios</x:v>
      </x:c>
      <x:c r="C48" s="142" t="str">
        <x:v>Trazos del lienzo por Espacio</x:v>
      </x:c>
      <x:c r="D48" s="141" t="str">
        <x:v>spaces.canvas_paths.per_space</x:v>
      </x:c>
      <x:c r="E48" s="141" t="str">
        <x:v>Protección técnica</x:v>
      </x:c>
      <x:c r="F48" s="160" t="n">
        <x:v>1000</x:v>
      </x:c>
      <x:c r="G48" s="141" t="str">
        <x:v>trazos</x:v>
      </x:c>
      <x:c r="H48" s="141" t="str">
        <x:v>Por Espacio</x:v>
      </x:c>
      <x:c r="I48" s="141" t="str">
        <x:v>Sí</x:v>
      </x:c>
      <x:c r="J48" s="152" t="str">
        <x:v>Revisar</x:v>
      </x:c>
      <x:c r="K48" s="161" t="n">
        <x:v>1000</x:v>
      </x:c>
      <x:c r="L48" s="153" t="str">
        <x:v>Controla el tamaño del lienzo libre y el costo de sincronización.</x:v>
      </x:c>
      <x:c r="M48" s="160" t="n">
        <x:v>1000</x:v>
      </x:c>
      <x:c r="N48" s="154" t="str">
        <x:v>Activa</x:v>
      </x:c>
      <x:c r="O48" s="154" t="str">
        <x:v>Móvil, web</x:v>
      </x:c>
      <x:c r="P48" s="154" t="str">
        <x:v>Lanzamiento móvil</x:v>
      </x:c>
      <x:c r="Q48" s="156" t="str">
        <x:v>No instrumentado</x:v>
      </x:c>
      <x:c r="R48" s="156" t="str">
        <x:v>Base de datos</x:v>
      </x:c>
      <x:c r="S48" s="158" t="str">
        <x:v>Solo al intervenir</x:v>
      </x:c>
      <x:c r="T48" s="158" t="str">
        <x:v>Plan Gratis v1</x:v>
      </x:c>
    </x:row>
    <x:row r="49" ht="42" customHeight="1">
      <x:c r="A49" s="141" t="str">
        <x:v>LIM-039</x:v>
      </x:c>
      <x:c r="B49" s="141" t="str">
        <x:v>Espacios</x:v>
      </x:c>
      <x:c r="C49" s="142" t="str">
        <x:v>Tamaño del estado del Espacio</x:v>
      </x:c>
      <x:c r="D49" s="141" t="str">
        <x:v>spaces.state_bytes</x:v>
      </x:c>
      <x:c r="E49" s="141" t="str">
        <x:v>Protección técnica</x:v>
      </x:c>
      <x:c r="F49" s="160" t="n">
        <x:v>5</x:v>
      </x:c>
      <x:c r="G49" s="141" t="str">
        <x:v>MB</x:v>
      </x:c>
      <x:c r="H49" s="141" t="str">
        <x:v>Por Espacio</x:v>
      </x:c>
      <x:c r="I49" s="141" t="str">
        <x:v>Sí</x:v>
      </x:c>
      <x:c r="J49" s="152" t="str">
        <x:v>Revisar</x:v>
      </x:c>
      <x:c r="K49" s="161" t="n">
        <x:v>5</x:v>
      </x:c>
      <x:c r="L49" s="153" t="str">
        <x:v>Límite para el estado estructurado del editor. Los archivos se miden en storage.bytes.</x:v>
      </x:c>
      <x:c r="M49" s="160" t="n">
        <x:v>5</x:v>
      </x:c>
      <x:c r="N49" s="154" t="str">
        <x:v>Activa</x:v>
      </x:c>
      <x:c r="O49" s="154" t="str">
        <x:v>Móvil, web, MCP</x:v>
      </x:c>
      <x:c r="P49" s="154" t="str">
        <x:v>Lanzamiento móvil</x:v>
      </x:c>
      <x:c r="Q49" s="156" t="str">
        <x:v>No instrumentado</x:v>
      </x:c>
      <x:c r="R49" s="156" t="str">
        <x:v>Base de datos y backend</x:v>
      </x:c>
      <x:c r="S49" s="158" t="str">
        <x:v>Solo al intervenir</x:v>
      </x:c>
      <x:c r="T49" s="158" t="str">
        <x:v>Plan Gratis v1</x:v>
      </x:c>
    </x:row>
    <x:row r="50" ht="42" customHeight="1">
      <x:c r="A50" s="141" t="str">
        <x:v>LIM-040</x:v>
      </x:c>
      <x:c r="B50" s="141" t="str">
        <x:v>Espacios</x:v>
      </x:c>
      <x:c r="C50" s="142" t="str">
        <x:v>Archivos vinculados por Espacio</x:v>
      </x:c>
      <x:c r="D50" s="141" t="str">
        <x:v>spaces.files.per_space</x:v>
      </x:c>
      <x:c r="E50" s="141" t="str">
        <x:v>Protección técnica</x:v>
      </x:c>
      <x:c r="F50" s="160" t="n">
        <x:v>500</x:v>
      </x:c>
      <x:c r="G50" s="141" t="str">
        <x:v>archivos</x:v>
      </x:c>
      <x:c r="H50" s="141" t="str">
        <x:v>Por Espacio</x:v>
      </x:c>
      <x:c r="I50" s="141" t="str">
        <x:v>Sí</x:v>
      </x:c>
      <x:c r="J50" s="152" t="str">
        <x:v>Revisar</x:v>
      </x:c>
      <x:c r="K50" s="161" t="n">
        <x:v>500</x:v>
      </x:c>
      <x:c r="L50" s="153" t="str">
        <x:v>Los archivos consumen almacenamiento una sola vez aunque se vinculen a varios Espacios.</x:v>
      </x:c>
      <x:c r="M50" s="160" t="n">
        <x:v>500</x:v>
      </x:c>
      <x:c r="N50" s="154" t="str">
        <x:v>Activa</x:v>
      </x:c>
      <x:c r="O50" s="154" t="str">
        <x:v>Móvil, web, MCP</x:v>
      </x:c>
      <x:c r="P50" s="154" t="str">
        <x:v>Lanzamiento móvil</x:v>
      </x:c>
      <x:c r="Q50" s="156" t="str">
        <x:v>No instrumentado</x:v>
      </x:c>
      <x:c r="R50" s="156" t="str">
        <x:v>Base de datos</x:v>
      </x:c>
      <x:c r="S50" s="158" t="str">
        <x:v>Solo al intervenir</x:v>
      </x:c>
      <x:c r="T50" s="158" t="str">
        <x:v>Plan Gratis v1</x:v>
      </x:c>
    </x:row>
    <x:row r="51" ht="42" customHeight="1">
      <x:c r="A51" s="141" t="str">
        <x:v>LIM-041</x:v>
      </x:c>
      <x:c r="B51" s="141" t="str">
        <x:v>Memoria</x:v>
      </x:c>
      <x:c r="C51" s="142" t="str">
        <x:v>Conceptos semánticos por Espacio</x:v>
      </x:c>
      <x:c r="D51" s="141" t="str">
        <x:v>memory.concepts.per_space</x:v>
      </x:c>
      <x:c r="E51" s="141" t="str">
        <x:v>Protección técnica</x:v>
      </x:c>
      <x:c r="F51" s="160" t="n">
        <x:v>2000</x:v>
      </x:c>
      <x:c r="G51" s="141" t="str">
        <x:v>conceptos</x:v>
      </x:c>
      <x:c r="H51" s="141" t="str">
        <x:v>Por Espacio</x:v>
      </x:c>
      <x:c r="I51" s="141" t="str">
        <x:v>Sí</x:v>
      </x:c>
      <x:c r="J51" s="152" t="str">
        <x:v>Revisar</x:v>
      </x:c>
      <x:c r="K51" s="161" t="n">
        <x:v>2000</x:v>
      </x:c>
      <x:c r="L51" s="153" t="str">
        <x:v>Los conceptos son agrupaciones semánticas internas; no crean nuevos Espacios por sí solos.</x:v>
      </x:c>
      <x:c r="M51" s="160" t="n">
        <x:v>2000</x:v>
      </x:c>
      <x:c r="N51" s="154" t="str">
        <x:v>Futura</x:v>
      </x:c>
      <x:c r="O51" s="154" t="str">
        <x:v>Móvil, web, MCP</x:v>
      </x:c>
      <x:c r="P51" s="154" t="str">
        <x:v>Futura</x:v>
      </x:c>
      <x:c r="Q51" s="156" t="str">
        <x:v>Inactivo</x:v>
      </x:c>
      <x:c r="R51" s="156" t="str">
        <x:v>Backend y base de datos</x:v>
      </x:c>
      <x:c r="S51" s="158" t="str">
        <x:v>No</x:v>
      </x:c>
      <x:c r="T51" s="158" t="str">
        <x:v>Al activar conceptos semánticos</x:v>
      </x:c>
    </x:row>
    <x:row r="52" ht="42" customHeight="1">
      <x:c r="A52" s="141" t="str">
        <x:v>LIM-042</x:v>
      </x:c>
      <x:c r="B52" s="141" t="str">
        <x:v>Memoria</x:v>
      </x:c>
      <x:c r="C52" s="142" t="str">
        <x:v>Reindexaciones manuales</x:v>
      </x:c>
      <x:c r="D52" s="141" t="str">
        <x:v>memory.manual_reindexes</x:v>
      </x:c>
      <x:c r="E52" s="141" t="str">
        <x:v>Protección técnica</x:v>
      </x:c>
      <x:c r="F52" s="160" t="n">
        <x:v>10</x:v>
      </x:c>
      <x:c r="G52" s="141" t="str">
        <x:v>reindexaciones</x:v>
      </x:c>
      <x:c r="H52" s="141" t="str">
        <x:v>Día</x:v>
      </x:c>
      <x:c r="I52" s="141" t="str">
        <x:v>Sí</x:v>
      </x:c>
      <x:c r="J52" s="152" t="str">
        <x:v>Revisar</x:v>
      </x:c>
      <x:c r="K52" s="161" t="n">
        <x:v>10</x:v>
      </x:c>
      <x:c r="L52" s="153" t="str">
        <x:v>Evita reindexar repetidamente el mismo contenido. Las actualizaciones normales pueden procesarse por cola.</x:v>
      </x:c>
      <x:c r="M52" s="160" t="n">
        <x:v>10</x:v>
      </x:c>
      <x:c r="N52" s="154" t="str">
        <x:v>Futura</x:v>
      </x:c>
      <x:c r="O52" s="154" t="str">
        <x:v>Móvil, web, MCP</x:v>
      </x:c>
      <x:c r="P52" s="154" t="str">
        <x:v>Futura</x:v>
      </x:c>
      <x:c r="Q52" s="156" t="str">
        <x:v>Inactivo</x:v>
      </x:c>
      <x:c r="R52" s="156" t="str">
        <x:v>Backend</x:v>
      </x:c>
      <x:c r="S52" s="158" t="str">
        <x:v>No</x:v>
      </x:c>
      <x:c r="T52" s="158" t="str">
        <x:v>Al activar reindexación manual</x:v>
      </x:c>
    </x:row>
    <x:row r="53" ht="42" customHeight="1">
      <x:c r="A53" s="122" t="str">
        <x:v>LIM-043</x:v>
      </x:c>
      <x:c r="B53" s="122" t="str">
        <x:v>Audio</x:v>
      </x:c>
      <x:c r="C53" s="123" t="str">
        <x:v>Transcripción de audio</x:v>
      </x:c>
      <x:c r="D53" s="122" t="str">
        <x:v>media.transcription_minutes</x:v>
      </x:c>
      <x:c r="E53" s="122" t="str">
        <x:v>Disponibilidad</x:v>
      </x:c>
      <x:c r="F53" s="124" t="n">
        <x:v>0</x:v>
      </x:c>
      <x:c r="G53" s="122" t="str">
        <x:v>minutos</x:v>
      </x:c>
      <x:c r="H53" s="122" t="str">
        <x:v>Mes</x:v>
      </x:c>
      <x:c r="I53" s="122" t="str">
        <x:v>No</x:v>
      </x:c>
      <x:c r="J53" s="143" t="str">
        <x:v>Confirmar</x:v>
      </x:c>
      <x:c r="K53" s="144" t="n">
        <x:v>0</x:v>
      </x:c>
      <x:c r="L53" s="145" t="str">
        <x:v>La importación de audio sí está permitida. La transcripción y el análisis no están disponibles para cuentas Gratis.</x:v>
      </x:c>
      <x:c r="M53" s="124" t="str">
        <x:v>No disponible en Gratis</x:v>
      </x:c>
      <x:c r="N53" s="155" t="str">
        <x:v>Deshabilitada</x:v>
      </x:c>
      <x:c r="O53" s="155" t="str">
        <x:v>Móvil, web, MCP, API</x:v>
      </x:c>
      <x:c r="P53" s="155" t="str">
        <x:v>Lanzamiento móvil</x:v>
      </x:c>
      <x:c r="Q53" s="157" t="str">
        <x:v>Bloqueado por capacidad</x:v>
      </x:c>
      <x:c r="R53" s="157" t="str">
        <x:v>Backend</x:v>
      </x:c>
      <x:c r="S53" s="159" t="str">
        <x:v>No</x:v>
      </x:c>
      <x:c r="T53" s="159" t="str">
        <x:v>Plan Gratis v1</x:v>
      </x:c>
    </x:row>
  </x:sheetData>
  <x:conditionalFormatting sqref="J11:J45">
    <x:cfRule type="containsText" dxfId="0" priority="1" operator="containsText" text="Aprobar"/>
    <x:cfRule type="containsText" dxfId="1" priority="2" operator="containsText" text="Cambiar"/>
    <x:cfRule type="containsText" dxfId="2" priority="3" operator="containsText" text="Eliminar"/>
  </x:conditionalFormatting>
  <x:conditionalFormatting sqref="K11:K45">
    <x:cfRule type="expression" dxfId="3" priority="4">
      <x:formula>AND($J11="Cambiar",$K11="")</x:formula>
    </x:cfRule>
  </x:conditionalFormatting>
  <x:dataValidations count="7">
    <x:dataValidation type="list" sqref="J11:J45">
      <x:formula1>"Pendiente,Aprobar,Cambiar,Eliminar"</x:formula1>
    </x:dataValidation>
    <x:dataValidation type="list" sqref="E11:E45">
      <x:formula1>"Cuota visible,Protección técnica,Costo interno"</x:formula1>
    </x:dataValidation>
    <x:dataValidation type="list" sqref="I11:I45">
      <x:formula1>"No,Sí"</x:formula1>
    </x:dataValidation>
    <x:dataValidation type="list" sqref="J11:J53">
      <x:formula1>"Aprobar,Cambiar,Reemplazar,Eliminar,Revisar,Confirmar,Mantener futura,Aprobar para futuro,Eliminar cuota,Pendiente"</x:formula1>
    </x:dataValidation>
    <x:dataValidation type="list" sqref="N11:N53">
      <x:formula1>"Activa,Futura,Deshabilitada,Solo administrador,Eliminada,Interna"</x:formula1>
    </x:dataValidation>
    <x:dataValidation type="list" sqref="Q11:Q53">
      <x:formula1>"Aplicado,No instrumentado,Modo observación,Inactivo,Bloqueado por capacidad"</x:formula1>
    </x:dataValidation>
    <x:dataValidation type="list" sqref="S11:S53">
      <x:formula1>"Sí,No,Solo al intervenir,Fuera de la app"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F8A7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38" hidden="0" customWidth="1"/>
    <x:col min="4" max="4" width="22" hidden="0" customWidth="1"/>
    <x:col min="5" max="5" width="34" hidden="0" customWidth="1"/>
    <x:col min="6" max="6" width="34" hidden="0" customWidth="1"/>
    <x:col min="7" max="7" width="22" hidden="0" customWidth="1"/>
  </x:cols>
  <x:sheetData>
    <x:row r="2" ht="19.200000762939453" hidden="0" customHeight="1">
      <x:c r="A2" s="86" t="str">
        <x:v>Contrato de uso</x:v>
      </x:c>
      <x:c r="B2" s="54"/>
      <x:c r="C2" s="54"/>
      <x:c r="D2" s="54"/>
      <x:c r="E2" s="54"/>
      <x:c r="F2" s="54"/>
      <x:c r="G2" s="54"/>
    </x:row>
    <x:row r="3" ht="15" hidden="0" customHeight="1">
      <x:c r="A3" s="87" t="str">
        <x:v>Principios para convertir límites de producto en reglas técnicas consistentes.</x:v>
      </x:c>
      <x:c r="B3" s="87"/>
      <x:c r="C3" s="87"/>
      <x:c r="D3" s="87"/>
      <x:c r="E3" s="87"/>
      <x:c r="F3" s="87"/>
      <x:c r="G3" s="87"/>
    </x:row>
    <x:row r="4" ht="15" hidden="0" customHeight="1">
      <x:c r="A4" s="60"/>
      <x:c r="B4" s="60"/>
      <x:c r="C4" s="60"/>
      <x:c r="D4" s="60"/>
      <x:c r="E4" s="60"/>
      <x:c r="F4" s="60"/>
      <x:c r="G4" s="60"/>
    </x:row>
    <x:row r="5" ht="15" hidden="0" customHeight="1">
      <x:c r="A5" s="60"/>
      <x:c r="B5" s="60"/>
      <x:c r="C5" s="60"/>
      <x:c r="D5" s="60"/>
      <x:c r="E5" s="60"/>
      <x:c r="F5" s="60"/>
      <x:c r="G5" s="60"/>
    </x:row>
    <x:row r="6" ht="15" hidden="0" customHeight="1">
      <x:c r="A6" s="88" t="str">
        <x:v>Capa</x:v>
      </x:c>
      <x:c r="B6" s="89" t="str">
        <x:v>Qué controla</x:v>
      </x:c>
      <x:c r="C6" s="89" t="str">
        <x:v>Visible al usuario</x:v>
      </x:c>
      <x:c r="D6" s="89" t="str">
        <x:v>Admin exento</x:v>
      </x:c>
      <x:c r="E6" s="89" t="str">
        <x:v>Cómo se expresa</x:v>
      </x:c>
      <x:c r="F6" s="89" t="str">
        <x:v>Regla</x:v>
      </x:c>
      <x:c r="G6" s="90" t="str">
        <x:v>Notas</x:v>
      </x:c>
    </x:row>
    <x:row r="7" ht="39.599998474121094" hidden="0" customHeight="1">
      <x:c r="A7" s="61" t="str">
        <x:v>Plan Gratis</x:v>
      </x:c>
      <x:c r="B7" s="61" t="str">
        <x:v>Cuotas de producto</x:v>
      </x:c>
      <x:c r="C7" s="61" t="str">
        <x:v>Sí</x:v>
      </x:c>
      <x:c r="D7" s="61" t="str">
        <x:v>Sí</x:v>
      </x:c>
      <x:c r="E7" s="61" t="str">
        <x:v>Porcentaje y cantidad comprensible</x:v>
      </x:c>
      <x:c r="F7" s="61" t="str">
        <x:v>Puede bloquear nuevas operaciones al agotarse</x:v>
      </x:c>
      <x:c r="G7" s="61" t="str">
        <x:v>La lectura y exportación de datos existentes se mantienen.</x:v>
      </x:c>
    </x:row>
    <x:row r="8" ht="26.399999618530273" hidden="0" customHeight="1">
      <x:c r="A8" s="61" t="str">
        <x:v>Protección técnica</x:v>
      </x:c>
      <x:c r="B8" s="61" t="str">
        <x:v>Tamaño, frecuencia y concurrencia</x:v>
      </x:c>
      <x:c r="C8" s="61" t="str">
        <x:v>Solo cuando interviene</x:v>
      </x:c>
      <x:c r="D8" s="61" t="str">
        <x:v>No</x:v>
      </x:c>
      <x:c r="E8" s="61" t="str">
        <x:v>Mensaje específico del límite</x:v>
      </x:c>
      <x:c r="F8" s="61" t="str">
        <x:v>Se valida antes de ejecutar</x:v>
      </x:c>
      <x:c r="G8" s="61" t="str">
        <x:v>Protege infraestructura, privacidad y estabilidad.</x:v>
      </x:c>
    </x:row>
    <x:row r="9" ht="26.399999618530273" hidden="0" customHeight="1">
      <x:c r="A9" s="61" t="str">
        <x:v>Costo interno</x:v>
      </x:c>
      <x:c r="B9" s="61" t="str">
        <x:v>Gasto real por proveedores</x:v>
      </x:c>
      <x:c r="C9" s="61" t="str">
        <x:v>No</x:v>
      </x:c>
      <x:c r="D9" s="61" t="str">
        <x:v>Sí, pero se mide</x:v>
      </x:c>
      <x:c r="E9" s="61" t="str">
        <x:v>Microunidades y costo normalizado</x:v>
      </x:c>
      <x:c r="F9" s="61" t="str">
        <x:v>Sirve para alertas y calibración</x:v>
      </x:c>
      <x:c r="G9" s="61" t="str">
        <x:v>No se presenta como dinero al usuario.</x:v>
      </x:c>
    </x:row>
    <x:row r="10" ht="15" hidden="0" customHeight="1">
      <x:c r="A10" s="61"/>
      <x:c r="B10" s="61"/>
      <x:c r="C10" s="61"/>
      <x:c r="D10" s="61"/>
      <x:c r="E10" s="61"/>
      <x:c r="F10" s="61"/>
      <x:c r="G10" s="61"/>
    </x:row>
    <x:row r="11" ht="15" hidden="0" customHeight="1">
      <x:c r="A11" s="61"/>
      <x:c r="B11" s="61"/>
      <x:c r="C11" s="61"/>
      <x:c r="D11" s="61"/>
      <x:c r="E11" s="61"/>
      <x:c r="F11" s="61"/>
      <x:c r="G11" s="61"/>
    </x:row>
    <x:row r="12" ht="15" hidden="0" customHeight="1">
      <x:c r="A12" s="88" t="str">
        <x:v>Principio</x:v>
      </x:c>
      <x:c r="B12" s="89" t="str">
        <x:v>Decisión documentada</x:v>
      </x:c>
      <x:c r="C12" s="89" t="str">
        <x:v>Implicación</x:v>
      </x:c>
      <x:c r="D12" s="89" t="str">
        <x:v>Estado</x:v>
      </x:c>
      <x:c r="E12" s="89" t="str">
        <x:v>Corrección propuesta</x:v>
      </x:c>
      <x:c r="F12" s="89" t="str">
        <x:v>Notas de Pablo</x:v>
      </x:c>
      <x:c r="G12" s="90" t="str">
        <x:v>Responsable</x:v>
      </x:c>
    </x:row>
    <x:row r="13" ht="26.399999618530273" hidden="0" customHeight="1">
      <x:c r="A13" s="61" t="str">
        <x:v>Identidad del plan</x:v>
      </x:c>
      <x:c r="B13" s="61" t="str">
        <x:v>Todos los usuarios comienzan en Gratis.</x:v>
      </x:c>
      <x:c r="C13" s="61" t="str">
        <x:v>El plan no depende de user_type ni de créditos heredados.</x:v>
      </x:c>
      <x:c r="D13" s="65" t="str">
        <x:v>Pendiente</x:v>
      </x:c>
      <x:c r="E13" s="65"/>
      <x:c r="F13" s="65"/>
      <x:c r="G13" s="61" t="str">
        <x:v>Backend</x:v>
      </x:c>
    </x:row>
    <x:row r="14" ht="26.399999618530273" hidden="0" customHeight="1">
      <x:c r="A14" s="61" t="str">
        <x:v>Administrador</x:v>
      </x:c>
      <x:c r="B14" s="61" t="str">
        <x:v>El administrador no tiene cuotas comerciales.</x:v>
      </x:c>
      <x:c r="C14" s="61" t="str">
        <x:v>Su uso se registra y conserva protecciones técnicas.</x:v>
      </x:c>
      <x:c r="D14" s="65" t="str">
        <x:v>Pendiente</x:v>
      </x:c>
      <x:c r="E14" s="65"/>
      <x:c r="F14" s="65"/>
      <x:c r="G14" s="61" t="str">
        <x:v>Backend</x:v>
      </x:c>
    </x:row>
    <x:row r="15" ht="26.399999618530273" hidden="0" customHeight="1">
      <x:c r="A15" s="61" t="str">
        <x:v>Créditos heredados</x:v>
      </x:c>
      <x:c r="B15" s="61" t="str">
        <x:v>Dejan de ser la fuente de verdad.</x:v>
      </x:c>
      <x:c r="C15" s="61" t="str">
        <x:v>Permanecen temporalmente para compatibilidad y luego se retiran.</x:v>
      </x:c>
      <x:c r="D15" s="65" t="str">
        <x:v>Pendiente</x:v>
      </x:c>
      <x:c r="E15" s="65"/>
      <x:c r="F15" s="65"/>
      <x:c r="G15" s="61" t="str">
        <x:v>Backend</x:v>
      </x:c>
    </x:row>
    <x:row r="16" ht="26.399999618530273" hidden="0" customHeight="1">
      <x:c r="A16" s="61" t="str">
        <x:v>Memoria</x:v>
      </x:c>
      <x:c r="B16" s="61" t="str">
        <x:v>Solo indexa contenido asociado a un Espacio.</x:v>
      </x:c>
      <x:c r="C16" s="61" t="str">
        <x:v>El Codex Global y los elementos sueltos no consumen Memoria.</x:v>
      </x:c>
      <x:c r="D16" s="65" t="str">
        <x:v>Acordado</x:v>
      </x:c>
      <x:c r="E16" s="65"/>
      <x:c r="F16" s="65"/>
      <x:c r="G16" s="61" t="str">
        <x:v>Backend</x:v>
      </x:c>
    </x:row>
    <x:row r="17" ht="26.399999618530273" hidden="0" customHeight="1">
      <x:c r="A17" s="61" t="str">
        <x:v>Uso fallido</x:v>
      </x:c>
      <x:c r="B17" s="61" t="str">
        <x:v>No consume cuota si el trabajo no comenzó.</x:v>
      </x:c>
      <x:c r="C17" s="61" t="str">
        <x:v>Las operaciones costosas reservan y luego confirman consumo.</x:v>
      </x:c>
      <x:c r="D17" s="65" t="str">
        <x:v>Pendiente</x:v>
      </x:c>
      <x:c r="E17" s="65"/>
      <x:c r="F17" s="65"/>
      <x:c r="G17" s="61" t="str">
        <x:v>Backend</x:v>
      </x:c>
    </x:row>
    <x:row r="18" ht="15" hidden="0" customHeight="1">
      <x:c r="A18" s="61" t="str">
        <x:v>Reintentos</x:v>
      </x:c>
      <x:c r="B18" s="61" t="str">
        <x:v>Una solicitud debe cobrarse una vez.</x:v>
      </x:c>
      <x:c r="C18" s="61" t="str">
        <x:v>Cada operación lleva una clave de idempotencia.</x:v>
      </x:c>
      <x:c r="D18" s="65" t="str">
        <x:v>Pendiente</x:v>
      </x:c>
      <x:c r="E18" s="65"/>
      <x:c r="F18" s="65"/>
      <x:c r="G18" s="61" t="str">
        <x:v>Backend</x:v>
      </x:c>
    </x:row>
    <x:row r="19" ht="26.399999618530273" hidden="0" customHeight="1">
      <x:c r="A19" s="61" t="str">
        <x:v>Privacidad</x:v>
      </x:c>
      <x:c r="B19" s="61" t="str">
        <x:v>El usuario consulta únicamente su propio consumo.</x:v>
      </x:c>
      <x:c r="C19" s="61" t="str">
        <x:v>La medición no expone solicitudes ni datos sensibles.</x:v>
      </x:c>
      <x:c r="D19" s="65" t="str">
        <x:v>Pendiente</x:v>
      </x:c>
      <x:c r="E19" s="65"/>
      <x:c r="F19" s="65"/>
      <x:c r="G19" s="61" t="str">
        <x:v>Backend</x:v>
      </x:c>
    </x:row>
    <x:row r="20" ht="26.399999618530273" hidden="0" customHeight="1">
      <x:c r="A20" s="61" t="str">
        <x:v>Terminología</x:v>
      </x:c>
      <x:c r="B20" s="61" t="str">
        <x:v>La interfaz usa Memoria, Uso de IA y Funciones avanzadas.</x:v>
      </x:c>
      <x:c r="C20" s="61" t="str">
        <x:v>Tokens, dólares y nombres internos quedan en el backend.</x:v>
      </x:c>
      <x:c r="D20" s="65" t="str">
        <x:v>Pendiente</x:v>
      </x:c>
      <x:c r="E20" s="65"/>
      <x:c r="F20" s="65"/>
      <x:c r="G20" s="61" t="str">
        <x:v>Producto</x:v>
      </x:c>
    </x:row>
    <x:row r="21" ht="26.399999618530273" hidden="0" customHeight="1">
      <x:c r="A21" s="67" t="str">
        <x:v>Cambio de plan</x:v>
      </x:c>
      <x:c r="B21" s="67" t="str">
        <x:v>Los límites se versionan y se aplican por periodo.</x:v>
      </x:c>
      <x:c r="C21" s="67" t="str">
        <x:v>Un cambio no reescribe el consumo histórico.</x:v>
      </x:c>
      <x:c r="D21" s="71" t="str">
        <x:v>Pendiente</x:v>
      </x:c>
      <x:c r="E21" s="71"/>
      <x:c r="F21" s="71"/>
      <x:c r="G21" s="67" t="str">
        <x:v>Backend</x:v>
      </x:c>
    </x:row>
    <x:row r="22" ht="40" customHeight="1">
      <x:c r="A22" s="142" t="str">
        <x:v>Disponibilidad por función</x:v>
      </x:c>
      <x:c r="B22" s="142" t="str">
        <x:v>Cada función declara si está activa, futura, deshabilitada o reservada al administrador.</x:v>
      </x:c>
      <x:c r="C22" s="142" t="str">
        <x:v>Una cuota futura no consume ni bloquea hasta que se active la función.</x:v>
      </x:c>
      <x:c r="D22" s="164" t="str">
        <x:v>Acordado</x:v>
      </x:c>
      <x:c r="E22" s="141"/>
      <x:c r="F22" s="141"/>
      <x:c r="G22" s="141" t="str">
        <x:v>Producto y backend</x:v>
      </x:c>
    </x:row>
    <x:row r="23" ht="40" customHeight="1">
      <x:c r="A23" s="142" t="str">
        <x:v>Canales</x:v>
      </x:c>
      <x:c r="B23" s="142" t="str">
        <x:v>Los límites pertenecen a la cuenta y pueden aplicarse en móvil, web, MCP y API.</x:v>
      </x:c>
      <x:c r="C23" s="142" t="str">
        <x:v>Cambiar de interfaz no reinicia ni evita la cuota.</x:v>
      </x:c>
      <x:c r="D23" s="164" t="str">
        <x:v>Acordado</x:v>
      </x:c>
      <x:c r="E23" s="141"/>
      <x:c r="F23" s="141"/>
      <x:c r="G23" s="141" t="str">
        <x:v>Backend</x:v>
      </x:c>
    </x:row>
    <x:row r="24" ht="40" customHeight="1">
      <x:c r="A24" s="142" t="str">
        <x:v>Autoridad</x:v>
      </x:c>
      <x:c r="B24" s="142" t="str">
        <x:v>La interfaz informa; la base de datos y el backend autorizan.</x:v>
      </x:c>
      <x:c r="C24" s="142" t="str">
        <x:v>Las escrituras directas a Supabase no pueden omitir la validación de cuotas.</x:v>
      </x:c>
      <x:c r="D24" s="164" t="str">
        <x:v>Acordado</x:v>
      </x:c>
      <x:c r="E24" s="141"/>
      <x:c r="F24" s="141"/>
      <x:c r="G24" s="141" t="str">
        <x:v>Backend</x:v>
      </x:c>
    </x:row>
    <x:row r="25" ht="40" customHeight="1">
      <x:c r="A25" s="142" t="str">
        <x:v>Almacenamiento</x:v>
      </x:c>
      <x:c r="B25" s="142" t="str">
        <x:v>Imágenes, documentos, audio, video y adjuntos comparten una sola bolsa.</x:v>
      </x:c>
      <x:c r="C25" s="142" t="str">
        <x:v>No se suman bolsas independientes por cada tipo de contenido.</x:v>
      </x:c>
      <x:c r="D25" s="164" t="str">
        <x:v>Acordado</x:v>
      </x:c>
      <x:c r="E25" s="141"/>
      <x:c r="F25" s="141"/>
      <x:c r="G25" s="141" t="str">
        <x:v>Backend</x:v>
      </x:c>
    </x:row>
    <x:row r="26" ht="40" customHeight="1">
      <x:c r="A26" s="142" t="str">
        <x:v>Activación futura</x:v>
      </x:c>
      <x:c r="B26" s="142" t="str">
        <x:v>Las claves se definen antes de publicar la función.</x:v>
      </x:c>
      <x:c r="C26" s="142" t="str">
        <x:v>Al lanzar una función se cambia su disponibilidad sin rediseñar el contrato.</x:v>
      </x:c>
      <x:c r="D26" s="164" t="str">
        <x:v>Acordado</x:v>
      </x:c>
      <x:c r="E26" s="141"/>
      <x:c r="F26" s="141"/>
      <x:c r="G26" s="141" t="str">
        <x:v>Producto y backend</x:v>
      </x:c>
    </x:row>
    <x:row r="27" ht="40" customHeight="1">
      <x:c r="A27" s="123" t="str">
        <x:v>Estado de medición</x:v>
      </x:c>
      <x:c r="B27" s="123" t="str">
        <x:v>Cada métrica declara si está aplicada, en observación, no instrumentada o inactiva.</x:v>
      </x:c>
      <x:c r="C27" s="123" t="str">
        <x:v>La app no presenta como aplicado un límite que el backend todavía no puede medir.</x:v>
      </x:c>
      <x:c r="D27" s="165" t="str">
        <x:v>Acordado</x:v>
      </x:c>
      <x:c r="E27" s="122"/>
      <x:c r="F27" s="122"/>
      <x:c r="G27" s="122" t="str">
        <x:v>Backend</x:v>
      </x:c>
    </x:row>
  </x:sheetData>
  <x:dataValidations count="1">
    <x:dataValidation type="list" sqref="D13:D21">
      <x:formula1>"Pendiente,Acordado,Cambiar,Eliminar"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63D4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3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5" hidden="0" customWidth="1"/>
  </x:cols>
  <x:sheetData>
    <x:row r="2" ht="19.200000762939453" hidden="0" customHeight="1">
      <x:c r="A2" s="86" t="str">
        <x:v>Protecciones de seguridad</x:v>
      </x:c>
      <x:c r="B2" s="54"/>
      <x:c r="C2" s="54"/>
      <x:c r="D2" s="54"/>
      <x:c r="E2" s="54"/>
      <x:c r="F2" s="54"/>
      <x:c r="G2" s="54"/>
      <x:c r="H2" s="54"/>
      <x:c r="I2" s="54"/>
    </x:row>
    <x:row r="3" ht="15" hidden="0" customHeight="1">
      <x:c r="A3" s="87" t="str">
        <x:v>Estas reglas protegen el sistema y pueden aplicar incluso cuando una cuenta no tiene cuotas comerciales.</x:v>
      </x:c>
      <x:c r="B3" s="87"/>
      <x:c r="C3" s="87"/>
      <x:c r="D3" s="87"/>
      <x:c r="E3" s="87"/>
      <x:c r="F3" s="87"/>
      <x:c r="G3" s="87"/>
      <x:c r="H3" s="87"/>
      <x:c r="I3" s="87"/>
    </x:row>
    <x:row r="4" ht="15" hidden="0" customHeight="1">
      <x:c r="A4" s="60"/>
      <x:c r="B4" s="60"/>
      <x:c r="C4" s="60"/>
      <x:c r="D4" s="60"/>
      <x:c r="E4" s="60"/>
      <x:c r="F4" s="60"/>
      <x:c r="G4" s="60"/>
      <x:c r="H4" s="60"/>
      <x:c r="I4" s="60"/>
    </x:row>
    <x:row r="5" ht="15" hidden="0" customHeight="1">
      <x:c r="A5" s="60"/>
      <x:c r="B5" s="60"/>
      <x:c r="C5" s="60"/>
      <x:c r="D5" s="60"/>
      <x:c r="E5" s="60"/>
      <x:c r="F5" s="60"/>
      <x:c r="G5" s="60"/>
      <x:c r="H5" s="60"/>
      <x:c r="I5" s="60"/>
    </x:row>
    <x:row r="6" ht="15" hidden="0" customHeight="1">
      <x:c r="A6" s="88" t="str">
        <x:v>Área</x:v>
      </x:c>
      <x:c r="B6" s="89" t="str">
        <x:v>Protección</x:v>
      </x:c>
      <x:c r="C6" s="89" t="str">
        <x:v>Propuesta</x:v>
      </x:c>
      <x:c r="D6" s="89" t="str">
        <x:v>Unidad</x:v>
      </x:c>
      <x:c r="E6" s="89" t="str">
        <x:v>Aplica al admin</x:v>
      </x:c>
      <x:c r="F6" s="89" t="str">
        <x:v>Prioridad</x:v>
      </x:c>
      <x:c r="G6" s="89" t="str">
        <x:v>Decisión</x:v>
      </x:c>
      <x:c r="H6" s="89" t="str">
        <x:v>Valor ajustado</x:v>
      </x:c>
      <x:c r="I6" s="90" t="str">
        <x:v>Notas</x:v>
      </x:c>
    </x:row>
    <x:row r="7" ht="15" hidden="0" customHeight="1">
      <x:c r="A7" s="61" t="str">
        <x:v>API</x:v>
      </x:c>
      <x:c r="B7" s="61" t="str">
        <x:v>Lecturas</x:v>
      </x:c>
      <x:c r="C7" s="61" t="n">
        <x:v>60</x:v>
      </x:c>
      <x:c r="D7" s="61" t="str">
        <x:v>por minuto</x:v>
      </x:c>
      <x:c r="E7" s="61" t="str">
        <x:v>Sí</x:v>
      </x:c>
      <x:c r="F7" s="61" t="str">
        <x:v>Alta</x:v>
      </x:c>
      <x:c r="G7" s="65" t="str">
        <x:v>Pendiente</x:v>
      </x:c>
      <x:c r="H7" s="65"/>
      <x:c r="I7" s="65" t="str">
        <x:v>Se aplica por usuario y, cuando corresponda, por IP.</x:v>
      </x:c>
    </x:row>
    <x:row r="8" ht="15" hidden="0" customHeight="1">
      <x:c r="A8" s="61" t="str">
        <x:v>API</x:v>
      </x:c>
      <x:c r="B8" s="61" t="str">
        <x:v>Escrituras</x:v>
      </x:c>
      <x:c r="C8" s="61" t="n">
        <x:v>20</x:v>
      </x:c>
      <x:c r="D8" s="61" t="str">
        <x:v>por minuto</x:v>
      </x:c>
      <x:c r="E8" s="61" t="str">
        <x:v>Sí</x:v>
      </x:c>
      <x:c r="F8" s="61" t="str">
        <x:v>Alta</x:v>
      </x:c>
      <x:c r="G8" s="65" t="str">
        <x:v>Pendiente</x:v>
      </x:c>
      <x:c r="H8" s="65"/>
      <x:c r="I8" s="65" t="str">
        <x:v>Incluye creación y actualización de registros.</x:v>
      </x:c>
    </x:row>
    <x:row r="9" ht="15" hidden="0" customHeight="1">
      <x:c r="A9" s="61" t="str">
        <x:v>Procesamiento</x:v>
      </x:c>
      <x:c r="B9" s="61" t="str">
        <x:v>Operaciones costosas</x:v>
      </x:c>
      <x:c r="C9" s="61" t="n">
        <x:v>5</x:v>
      </x:c>
      <x:c r="D9" s="61" t="str">
        <x:v>por minuto</x:v>
      </x:c>
      <x:c r="E9" s="61" t="str">
        <x:v>Sí</x:v>
      </x:c>
      <x:c r="F9" s="61" t="str">
        <x:v>Alta</x:v>
      </x:c>
      <x:c r="G9" s="65" t="str">
        <x:v>Pendiente</x:v>
      </x:c>
      <x:c r="H9" s="65"/>
      <x:c r="I9" s="65" t="str">
        <x:v>IA, OCR, extracción, transcripción e indexación.</x:v>
      </x:c>
    </x:row>
    <x:row r="10" ht="15" hidden="0" customHeight="1">
      <x:c r="A10" s="61" t="str">
        <x:v>Procesamiento</x:v>
      </x:c>
      <x:c r="B10" s="61" t="str">
        <x:v>Operaciones costosas concurrentes</x:v>
      </x:c>
      <x:c r="C10" s="61" t="n">
        <x:v>2</x:v>
      </x:c>
      <x:c r="D10" s="61" t="str">
        <x:v>simultáneas</x:v>
      </x:c>
      <x:c r="E10" s="61" t="str">
        <x:v>Sí</x:v>
      </x:c>
      <x:c r="F10" s="61" t="str">
        <x:v>Alta</x:v>
      </x:c>
      <x:c r="G10" s="65" t="str">
        <x:v>Pendiente</x:v>
      </x:c>
      <x:c r="H10" s="65"/>
      <x:c r="I10" s="65" t="str">
        <x:v>Se usa cola para las siguientes.</x:v>
      </x:c>
    </x:row>
    <x:row r="11" ht="26.399999618530273" hidden="0" customHeight="1">
      <x:c r="A11" s="61" t="str">
        <x:v>MCP</x:v>
      </x:c>
      <x:c r="B11" s="61" t="str">
        <x:v>Duración máxima de herramienta</x:v>
      </x:c>
      <x:c r="C11" s="61" t="n">
        <x:v>60</x:v>
      </x:c>
      <x:c r="D11" s="61" t="str">
        <x:v>segundos</x:v>
      </x:c>
      <x:c r="E11" s="61" t="str">
        <x:v>Sí</x:v>
      </x:c>
      <x:c r="F11" s="61" t="str">
        <x:v>Alta</x:v>
      </x:c>
      <x:c r="G11" s="65" t="str">
        <x:v>Pendiente</x:v>
      </x:c>
      <x:c r="H11" s="65"/>
      <x:c r="I11" s="65" t="str">
        <x:v>Las herramientas largas deben convertirse en trabajos consultables.</x:v>
      </x:c>
    </x:row>
    <x:row r="12" ht="15" hidden="0" customHeight="1">
      <x:c r="A12" s="61" t="str">
        <x:v>MCP</x:v>
      </x:c>
      <x:c r="B12" s="61" t="str">
        <x:v>Pasos por ejecución agentica</x:v>
      </x:c>
      <x:c r="C12" s="61" t="n">
        <x:v>8</x:v>
      </x:c>
      <x:c r="D12" s="61" t="str">
        <x:v>pasos</x:v>
      </x:c>
      <x:c r="E12" s="61" t="str">
        <x:v>Sí</x:v>
      </x:c>
      <x:c r="F12" s="61" t="str">
        <x:v>Alta</x:v>
      </x:c>
      <x:c r="G12" s="65" t="str">
        <x:v>Pendiente</x:v>
      </x:c>
      <x:c r="H12" s="65"/>
      <x:c r="I12" s="65" t="str">
        <x:v>Evita bucles de herramientas.</x:v>
      </x:c>
    </x:row>
    <x:row r="13" ht="15" hidden="0" customHeight="1">
      <x:c r="A13" s="61" t="str">
        <x:v>MCP</x:v>
      </x:c>
      <x:c r="B13" s="61" t="str">
        <x:v>Llamadas</x:v>
      </x:c>
      <x:c r="C13" s="61" t="n">
        <x:v>10</x:v>
      </x:c>
      <x:c r="D13" s="61" t="str">
        <x:v>por minuto</x:v>
      </x:c>
      <x:c r="E13" s="61" t="str">
        <x:v>Sí</x:v>
      </x:c>
      <x:c r="F13" s="61" t="str">
        <x:v>Alta</x:v>
      </x:c>
      <x:c r="G13" s="65" t="str">
        <x:v>Pendiente</x:v>
      </x:c>
      <x:c r="H13" s="65"/>
      <x:c r="I13" s="65" t="str">
        <x:v>Además de la cuota mensual ponderada.</x:v>
      </x:c>
    </x:row>
    <x:row r="14" ht="15" hidden="0" customHeight="1">
      <x:c r="A14" s="61" t="str">
        <x:v>Archivos</x:v>
      </x:c>
      <x:c r="B14" s="61" t="str">
        <x:v>Transcripción individual</x:v>
      </x:c>
      <x:c r="C14" s="61" t="n">
        <x:v>100</x:v>
      </x:c>
      <x:c r="D14" s="61" t="str">
        <x:v>MB</x:v>
      </x:c>
      <x:c r="E14" s="61" t="str">
        <x:v>Sí</x:v>
      </x:c>
      <x:c r="F14" s="61" t="str">
        <x:v>Alta</x:v>
      </x:c>
      <x:c r="G14" s="65" t="str">
        <x:v>Pendiente</x:v>
      </x:c>
      <x:c r="H14" s="65"/>
      <x:c r="I14" s="65" t="str">
        <x:v>Sustituye el máximo heredado de 500 MB.</x:v>
      </x:c>
    </x:row>
    <x:row r="15" ht="15" hidden="0" customHeight="1">
      <x:c r="A15" s="61" t="str">
        <x:v>Red</x:v>
      </x:c>
      <x:c r="B15" s="61" t="str">
        <x:v>Descarga de una fuente</x:v>
      </x:c>
      <x:c r="C15" s="61" t="n">
        <x:v>10</x:v>
      </x:c>
      <x:c r="D15" s="61" t="str">
        <x:v>MB</x:v>
      </x:c>
      <x:c r="E15" s="61" t="str">
        <x:v>Sí</x:v>
      </x:c>
      <x:c r="F15" s="61" t="str">
        <x:v>Alta</x:v>
      </x:c>
      <x:c r="G15" s="65" t="str">
        <x:v>Pendiente</x:v>
      </x:c>
      <x:c r="H15" s="65"/>
      <x:c r="I15" s="65" t="str">
        <x:v>Bloquear direcciones privadas y redirecciones no seguras.</x:v>
      </x:c>
    </x:row>
    <x:row r="16" ht="15" hidden="0" customHeight="1">
      <x:c r="A16" s="61" t="str">
        <x:v>OAuth MCP</x:v>
      </x:c>
      <x:c r="B16" s="61" t="str">
        <x:v>PKCE</x:v>
      </x:c>
      <x:c r="C16" s="61" t="n">
        <x:v>1</x:v>
      </x:c>
      <x:c r="D16" s="61" t="str">
        <x:v>S256 obligatorio</x:v>
      </x:c>
      <x:c r="E16" s="61" t="str">
        <x:v>Sí</x:v>
      </x:c>
      <x:c r="F16" s="61" t="str">
        <x:v>Crítica</x:v>
      </x:c>
      <x:c r="G16" s="65" t="str">
        <x:v>Pendiente</x:v>
      </x:c>
      <x:c r="H16" s="65"/>
      <x:c r="I16" s="65" t="str">
        <x:v>Retirar plain y conexiones sin desafío PKCE.</x:v>
      </x:c>
    </x:row>
    <x:row r="17" ht="15" hidden="0" customHeight="1">
      <x:c r="A17" s="61" t="str">
        <x:v>OAuth MCP</x:v>
      </x:c>
      <x:c r="B17" s="61" t="str">
        <x:v>Tokens almacenados</x:v>
      </x:c>
      <x:c r="C17" s="61" t="n">
        <x:v>1</x:v>
      </x:c>
      <x:c r="D17" s="61" t="str">
        <x:v>hash</x:v>
      </x:c>
      <x:c r="E17" s="61" t="str">
        <x:v>Sí</x:v>
      </x:c>
      <x:c r="F17" s="61" t="str">
        <x:v>Crítica</x:v>
      </x:c>
      <x:c r="G17" s="65" t="str">
        <x:v>Pendiente</x:v>
      </x:c>
      <x:c r="H17" s="65"/>
      <x:c r="I17" s="65" t="str">
        <x:v>No conservar tokens utilizables en texto plano.</x:v>
      </x:c>
    </x:row>
    <x:row r="18" ht="15" hidden="0" customHeight="1">
      <x:c r="A18" s="61" t="str">
        <x:v>Supabase</x:v>
      </x:c>
      <x:c r="B18" s="61" t="str">
        <x:v>RLS en tablas públicas</x:v>
      </x:c>
      <x:c r="C18" s="61" t="n">
        <x:v>1</x:v>
      </x:c>
      <x:c r="D18" s="61" t="str">
        <x:v>obligatorio</x:v>
      </x:c>
      <x:c r="E18" s="61" t="str">
        <x:v>Sí</x:v>
      </x:c>
      <x:c r="F18" s="61" t="str">
        <x:v>Crítica</x:v>
      </x:c>
      <x:c r="G18" s="65" t="str">
        <x:v>Pendiente</x:v>
      </x:c>
      <x:c r="H18" s="65"/>
      <x:c r="I18" s="65" t="str">
        <x:v>El asesor reportó tablas expuestas sin RLS.</x:v>
      </x:c>
    </x:row>
    <x:row r="19" ht="26.399999618530273" hidden="0" customHeight="1">
      <x:c r="A19" s="61" t="str">
        <x:v>Supabase</x:v>
      </x:c>
      <x:c r="B19" s="61" t="str">
        <x:v>Funciones privilegiadas anónimas</x:v>
      </x:c>
      <x:c r="C19" s="61" t="n">
        <x:v>0</x:v>
      </x:c>
      <x:c r="D19" s="61" t="str">
        <x:v>permitidas</x:v>
      </x:c>
      <x:c r="E19" s="61" t="str">
        <x:v>Sí</x:v>
      </x:c>
      <x:c r="F19" s="61" t="str">
        <x:v>Crítica</x:v>
      </x:c>
      <x:c r="G19" s="65" t="str">
        <x:v>Pendiente</x:v>
      </x:c>
      <x:c r="H19" s="65"/>
      <x:c r="I19" s="65" t="str">
        <x:v>Revocar EXECUTE a anon salvo una excepción documentada.</x:v>
      </x:c>
    </x:row>
    <x:row r="20" ht="15" hidden="0" customHeight="1">
      <x:c r="A20" s="67" t="str">
        <x:v>Archivos</x:v>
      </x:c>
      <x:c r="B20" s="67" t="str">
        <x:v>Contenido personal en buckets públicos</x:v>
      </x:c>
      <x:c r="C20" s="67" t="n">
        <x:v>0</x:v>
      </x:c>
      <x:c r="D20" s="67" t="str">
        <x:v>buckets</x:v>
      </x:c>
      <x:c r="E20" s="67" t="str">
        <x:v>Sí</x:v>
      </x:c>
      <x:c r="F20" s="67" t="str">
        <x:v>Crítica</x:v>
      </x:c>
      <x:c r="G20" s="71" t="str">
        <x:v>Pendiente</x:v>
      </x:c>
      <x:c r="H20" s="71"/>
      <x:c r="I20" s="71" t="str">
        <x:v>Servir archivos privados mediante enlaces temporales.</x:v>
      </x:c>
    </x:row>
  </x:sheetData>
  <x:dataValidations count="1">
    <x:dataValidation type="list" sqref="G7:G20">
      <x:formula1>"Pendiente,Aprobar,Cambiar,Eliminar"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6A9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16" hidden="0" customWidth="1"/>
    <x:col min="7" max="7" width="34" hidden="0" customWidth="1"/>
    <x:col min="8" max="8" width="34" hidden="0" customWidth="1"/>
  </x:cols>
  <x:sheetData>
    <x:row r="2" ht="19.200000762939453" hidden="0" customHeight="1">
      <x:c r="A2" s="86" t="str">
        <x:v>Plan de implementación</x:v>
      </x:c>
      <x:c r="B2" s="54"/>
      <x:c r="C2" s="54"/>
      <x:c r="D2" s="54"/>
      <x:c r="E2" s="54"/>
      <x:c r="F2" s="54"/>
      <x:c r="G2" s="54"/>
      <x:c r="H2" s="54"/>
    </x:row>
    <x:row r="3" ht="15" hidden="0" customHeight="1">
      <x:c r="A3" s="87" t="str">
        <x:v>Secuencia propuesta para introducir límites sin bloquear uso legítimo por falta de medición.</x:v>
      </x:c>
      <x:c r="B3" s="87"/>
      <x:c r="C3" s="87"/>
      <x:c r="D3" s="87"/>
      <x:c r="E3" s="87"/>
      <x:c r="F3" s="87"/>
      <x:c r="G3" s="87"/>
      <x:c r="H3" s="87"/>
    </x:row>
    <x:row r="4" ht="15" hidden="0" customHeight="1">
      <x:c r="A4" s="60"/>
      <x:c r="B4" s="60"/>
      <x:c r="C4" s="60"/>
      <x:c r="D4" s="60"/>
      <x:c r="E4" s="60"/>
      <x:c r="F4" s="60"/>
      <x:c r="G4" s="60"/>
      <x:c r="H4" s="60"/>
    </x:row>
    <x:row r="5" ht="15" hidden="0" customHeight="1">
      <x:c r="A5" s="60"/>
      <x:c r="B5" s="60"/>
      <x:c r="C5" s="60"/>
      <x:c r="D5" s="60"/>
      <x:c r="E5" s="60"/>
      <x:c r="F5" s="60"/>
      <x:c r="G5" s="60"/>
      <x:c r="H5" s="60"/>
    </x:row>
    <x:row r="6" ht="15" hidden="0" customHeight="1">
      <x:c r="A6" s="169" t="str">
        <x:v>Fase</x:v>
      </x:c>
      <x:c r="B6" s="170" t="str">
        <x:v>Objetivo</x:v>
      </x:c>
      <x:c r="C6" s="170" t="str">
        <x:v>Trabajo principal</x:v>
      </x:c>
      <x:c r="D6" s="170" t="str">
        <x:v>Salida</x:v>
      </x:c>
      <x:c r="E6" s="170" t="str">
        <x:v>Criterio de cierre</x:v>
      </x:c>
      <x:c r="F6" s="170" t="str">
        <x:v>Estado</x:v>
      </x:c>
      <x:c r="G6" s="170" t="str">
        <x:v>Correcciones</x:v>
      </x:c>
      <x:c r="H6" s="170" t="str">
        <x:v>Notas</x:v>
      </x:c>
    </x:row>
    <x:row r="7" ht="45" hidden="0" customHeight="1">
      <x:c r="A7" s="111" t="str">
        <x:v>0. Catálogo de capacidades</x:v>
      </x:c>
      <x:c r="B7" s="111" t="str">
        <x:v>Separar disponibilidad, cuota y canal.</x:v>
      </x:c>
      <x:c r="C7" s="111" t="str">
        <x:v>Registrar feature_key, canales, etapa, medición y punto de control.</x:v>
      </x:c>
      <x:c r="D7" s="111" t="str">
        <x:v>Catálogo versionado de capacidades.</x:v>
      </x:c>
      <x:c r="E7" s="111" t="str">
        <x:v>Toda función tiene estado y fecha de vigencia.</x:v>
      </x:c>
      <x:c r="F7" s="171" t="str">
        <x:v>Pendiente</x:v>
      </x:c>
      <x:c r="G7" s="115"/>
      <x:c r="H7" s="115"/>
    </x:row>
    <x:row r="8" ht="45" hidden="0" customHeight="1">
      <x:c r="A8" s="111" t="str">
        <x:v>1. Seguridad</x:v>
      </x:c>
      <x:c r="B8" s="111" t="str">
        <x:v>Cerrar rutas de abuso antes de ampliar acceso.</x:v>
      </x:c>
      <x:c r="C8" s="111" t="str">
        <x:v>RLS, funciones privilegiadas, OAuth MCP, buckets, carga y frecuencia.</x:v>
      </x:c>
      <x:c r="D8" s="111" t="str">
        <x:v>Superficie de acceso endurecida.</x:v>
      </x:c>
      <x:c r="E8" s="111" t="str">
        <x:v>Hallazgos críticos resueltos o con excepción documentada.</x:v>
      </x:c>
      <x:c r="F8" s="171" t="str">
        <x:v>Pendiente</x:v>
      </x:c>
      <x:c r="G8" s="115"/>
      <x:c r="H8" s="115"/>
    </x:row>
    <x:row r="9" ht="45" hidden="0" customHeight="1">
      <x:c r="A9" s="111" t="str">
        <x:v>2. Contrato</x:v>
      </x:c>
      <x:c r="B9" s="111" t="str">
        <x:v>Definir una sola fuente de verdad.</x:v>
      </x:c>
      <x:c r="C9" s="111" t="str">
        <x:v>Crear Plan Gratis, claves canónicas, periodos, reglas del admin y compatibilidad.</x:v>
      </x:c>
      <x:c r="D9" s="111" t="str">
        <x:v>Contrato versionado.</x:v>
      </x:c>
      <x:c r="E9" s="111" t="str">
        <x:v>Todas las métricas tienen unidad, periodo, disponibilidad y comportamiento.</x:v>
      </x:c>
      <x:c r="F9" s="171" t="str">
        <x:v>Pendiente</x:v>
      </x:c>
      <x:c r="G9" s="115"/>
      <x:c r="H9" s="115"/>
    </x:row>
    <x:row r="10" ht="45" hidden="0" customHeight="1">
      <x:c r="A10" s="111" t="str">
        <x:v>3. Medición</x:v>
      </x:c>
      <x:c r="B10" s="111" t="str">
        <x:v>Registrar consumo real sin bloquear.</x:v>
      </x:c>
      <x:c r="C10" s="111" t="str">
        <x:v>Contadores atómicos, eventos, costo interno e idempotencia en API, MCP y workers.</x:v>
      </x:c>
      <x:c r="D10" s="111" t="str">
        <x:v>Panel interno de consumo.</x:v>
      </x:c>
      <x:c r="E10" s="111" t="str">
        <x:v>IA, Memoria, archivos, mapas y MCP producen eventos conciliables.</x:v>
      </x:c>
      <x:c r="F10" s="171" t="str">
        <x:v>Pendiente</x:v>
      </x:c>
      <x:c r="G10" s="115"/>
      <x:c r="H10" s="115"/>
    </x:row>
    <x:row r="11" ht="45" hidden="0" customHeight="1">
      <x:c r="A11" s="111" t="str">
        <x:v>4. Observación</x:v>
      </x:c>
      <x:c r="B11" s="111" t="str">
        <x:v>Calibrar con datos reales.</x:v>
      </x:c>
      <x:c r="C11" s="111" t="str">
        <x:v>Operar entre 14 y 30 días en modo observación y medir percentiles y costos.</x:v>
      </x:c>
      <x:c r="D11" s="111" t="str">
        <x:v>Informe de calibración.</x:v>
      </x:c>
      <x:c r="E11" s="111" t="str">
        <x:v>Límites revisados con consumo medido.</x:v>
      </x:c>
      <x:c r="F11" s="171" t="str">
        <x:v>Pendiente</x:v>
      </x:c>
      <x:c r="G11" s="115"/>
      <x:c r="H11" s="115"/>
    </x:row>
    <x:row r="12" ht="45" hidden="0" customHeight="1">
      <x:c r="A12" s="111" t="str">
        <x:v>5. Avisos</x:v>
      </x:c>
      <x:c r="B12" s="111" t="str">
        <x:v>Preparar al usuario antes del bloqueo.</x:v>
      </x:c>
      <x:c r="C12" s="111" t="str">
        <x:v>Avisos al 70 %, 90 % y 100 %, resumen de uso y acciones disponibles.</x:v>
      </x:c>
      <x:c r="D12" s="111" t="str">
        <x:v>Experiencia de cuotas visible.</x:v>
      </x:c>
      <x:c r="E12" s="111" t="str">
        <x:v>Mensajes explican recurso, periodo y siguiente acción.</x:v>
      </x:c>
      <x:c r="F12" s="171" t="str">
        <x:v>Pendiente</x:v>
      </x:c>
      <x:c r="G12" s="115"/>
      <x:c r="H12" s="115"/>
    </x:row>
    <x:row r="13" ht="45" hidden="0" customHeight="1">
      <x:c r="A13" s="111" t="str">
        <x:v>6. Aplicación</x:v>
      </x:c>
      <x:c r="B13" s="111" t="str">
        <x:v>Activar el Plan Gratis por capacidad.</x:v>
      </x:c>
      <x:c r="C13" s="111" t="str">
        <x:v>Reservar, confirmar o liberar consumo y aplicar límites por recurso.</x:v>
      </x:c>
      <x:c r="D13" s="111" t="str">
        <x:v>Cuotas activas.</x:v>
      </x:c>
      <x:c r="E13" s="111" t="str">
        <x:v>La lectura y portabilidad permanecen disponibles al agotarse una cuota.</x:v>
      </x:c>
      <x:c r="F13" s="171" t="str">
        <x:v>Pendiente</x:v>
      </x:c>
      <x:c r="G13" s="111"/>
      <x:c r="H13" s="111"/>
    </x:row>
    <x:row r="14" ht="15" hidden="0" customHeight="1">
      <x:c r="A14" s="60"/>
      <x:c r="B14" s="60"/>
      <x:c r="C14" s="60"/>
      <x:c r="D14" s="60"/>
      <x:c r="E14" s="60"/>
      <x:c r="F14" s="60"/>
      <x:c r="G14" s="60"/>
      <x:c r="H14" s="60"/>
    </x:row>
    <x:row r="15" ht="15" hidden="0" customHeight="1">
      <x:c r="A15" s="169" t="str">
        <x:v>Componente</x:v>
      </x:c>
      <x:c r="B15" s="170" t="str">
        <x:v>Cambio propuesto</x:v>
      </x:c>
      <x:c r="C15" s="170" t="str">
        <x:v>Datos</x:v>
      </x:c>
      <x:c r="D15" s="170" t="str">
        <x:v>Regla de acceso</x:v>
      </x:c>
      <x:c r="E15" s="170" t="str">
        <x:v>Migración</x:v>
      </x:c>
      <x:c r="F15" s="170" t="str">
        <x:v>Notas</x:v>
      </x:c>
      <x:c r="G15" s="60"/>
      <x:c r="H15" s="60"/>
    </x:row>
    <x:row r="16" ht="48" hidden="0" customHeight="1">
      <x:c r="A16" s="111" t="str">
        <x:v>plans</x:v>
      </x:c>
      <x:c r="B16" s="111" t="str">
        <x:v>Mantener límites versionados por plan.</x:v>
      </x:c>
      <x:c r="C16" s="111" t="str">
        <x:v>plan_key, version, limits, active_from</x:v>
      </x:c>
      <x:c r="D16" s="111" t="str">
        <x:v>Lectura autenticada; escritura administrativa.</x:v>
      </x:c>
      <x:c r="E16" s="111" t="str">
        <x:v>Crear Free v1.</x:v>
      </x:c>
      <x:c r="F16" s="111" t="str">
        <x:v>Las claves técnicas permanecen canónicas.</x:v>
      </x:c>
      <x:c r="G16" s="60"/>
      <x:c r="H16" s="60"/>
    </x:row>
    <x:row r="17" ht="48" hidden="0" customHeight="1">
      <x:c r="A17" s="111" t="str">
        <x:v>plan_features</x:v>
      </x:c>
      <x:c r="B17" s="111" t="str">
        <x:v>Agregar catálogo de disponibilidad por función.</x:v>
      </x:c>
      <x:c r="C17" s="111" t="str">
        <x:v>feature_key, availability, channels, release_stage, effective_from</x:v>
      </x:c>
      <x:c r="D17" s="111" t="str">
        <x:v>Lectura autenticada; escritura administrativa.</x:v>
      </x:c>
      <x:c r="E17" s="111" t="str">
        <x:v>Registrar las funciones activas y futuras.</x:v>
      </x:c>
      <x:c r="F17" s="111" t="str">
        <x:v>Permite publicar nuevas funciones sin rehacer billing.</x:v>
      </x:c>
      <x:c r="G17" s="60"/>
      <x:c r="H17" s="60"/>
    </x:row>
    <x:row r="18" ht="48" hidden="0" customHeight="1">
      <x:c r="A18" s="111" t="str">
        <x:v>profiles</x:v>
      </x:c>
      <x:c r="B18" s="111" t="str">
        <x:v>Agregar plan_key y excepciones controladas.</x:v>
      </x:c>
      <x:c r="C18" s="111" t="str">
        <x:v>plan_key, entitlement_overrides</x:v>
      </x:c>
      <x:c r="D18" s="111" t="str">
        <x:v>El usuario puede leer su plan; no cambiarlo.</x:v>
      </x:c>
      <x:c r="E18" s="111" t="str">
        <x:v>Todos comienzan en free.</x:v>
      </x:c>
      <x:c r="F18" s="111" t="str">
        <x:v>role=admin concede exención comercial.</x:v>
      </x:c>
      <x:c r="G18" s="60"/>
      <x:c r="H18" s="60"/>
    </x:row>
    <x:row r="19" ht="48" hidden="0" customHeight="1">
      <x:c r="A19" s="111" t="str">
        <x:v>usage_counters</x:v>
      </x:c>
      <x:c r="B19" s="111" t="str">
        <x:v>Registrar contadores por ventana.</x:v>
      </x:c>
      <x:c r="C19" s="111" t="str">
        <x:v>user_id, metric_key, window, used, reserved</x:v>
      </x:c>
      <x:c r="D19" s="111" t="str">
        <x:v>Cambios solo mediante RPC de servicio.</x:v>
      </x:c>
      <x:c r="E19" s="111" t="str">
        <x:v>Comienza en cero.</x:v>
      </x:c>
      <x:c r="F19" s="111" t="str">
        <x:v>Actualización atómica para evitar carreras.</x:v>
      </x:c>
      <x:c r="G19" s="60"/>
      <x:c r="H19" s="60"/>
    </x:row>
    <x:row r="20" ht="48" hidden="0" customHeight="1">
      <x:c r="A20" s="117" t="str">
        <x:v>usage_logs</x:v>
      </x:c>
      <x:c r="B20" s="117" t="str">
        <x:v>Reformar el registro heredado como libro de eventos.</x:v>
      </x:c>
      <x:c r="C20" s="117" t="str">
        <x:v>request_id, metric_key, quantity, cost, source, result</x:v>
      </x:c>
      <x:c r="D20" s="117" t="str">
        <x:v>Resumen seguro para el usuario; detalle administrativo.</x:v>
      </x:c>
      <x:c r="E20" s="117" t="str">
        <x:v>Conservar histórico útil.</x:v>
      </x:c>
      <x:c r="F20" s="117" t="str">
        <x:v>Retirar parámetros sensibles innecesarios.</x:v>
      </x:c>
      <x:c r="G20" s="66"/>
      <x:c r="H20" s="66"/>
    </x:row>
    <x:row r="21" ht="48" customHeight="1">
      <x:c r="A21" s="173" t="str">
        <x:v>storage_reservations</x:v>
      </x:c>
      <x:c r="B21" s="173" t="str">
        <x:v>Reservar espacio antes de subir y confirmar bytes reales.</x:v>
      </x:c>
      <x:c r="C21" s="173" t="str">
        <x:v>user_id, upload_id, reserved_bytes, actual_bytes, status</x:v>
      </x:c>
      <x:c r="D21" s="173" t="str">
        <x:v>RPC autenticada; liquidación desde backend o webhook.</x:v>
      </x:c>
      <x:c r="E21" s="173" t="str">
        <x:v>Conciliar objetos existentes una vez.</x:v>
      </x:c>
      <x:c r="F21" s="173" t="str">
        <x:v>Evita que las cargas directas eludan la cuota.</x:v>
      </x:c>
    </x:row>
    <x:row r="22" ht="48" customHeight="1">
      <x:c r="A22" s="174" t="str">
        <x:v>credits</x:v>
      </x:c>
      <x:c r="B22" s="174" t="str">
        <x:v>Mantener compatibilidad temporal y retirar después.</x:v>
      </x:c>
      <x:c r="C22" s="174" t="str">
        <x:v>Valor heredado sin autoridad sobre cuotas.</x:v>
      </x:c>
      <x:c r="D22" s="174" t="str">
        <x:v>Solo lectura mientras exista.</x:v>
      </x:c>
      <x:c r="E22" s="174" t="str">
        <x:v>No convertir a dinero.</x:v>
      </x:c>
      <x:c r="F22" s="174" t="str">
        <x:v>Eliminar cuando API y front dejen de depender de él.</x:v>
      </x:c>
    </x:row>
  </x:sheetData>
  <x:dataValidations count="2">
    <x:dataValidation type="list" sqref="F7:F12">
      <x:formula1>"Pendiente,Aprobado,En curso,Bloqueado,Eliminar"</x:formula1>
    </x:dataValidation>
    <x:dataValidation type="list" sqref="F7:F13">
      <x:formula1>"Pendiente,En curso,Acordado,Completo"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F746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18" hidden="0" customWidth="1"/>
    <x:col min="4" max="4" width="18" hidden="0" customWidth="1"/>
    <x:col min="5" max="5" width="14" hidden="0" customWidth="1"/>
    <x:col min="6" max="6" width="62" hidden="0" customWidth="1"/>
    <x:col min="7" max="7" width="48" hidden="0" customWidth="1"/>
  </x:cols>
  <x:sheetData>
    <x:row r="2" ht="19.200000762939453" hidden="0" customHeight="1">
      <x:c r="A2" s="86" t="str">
        <x:v>Referencias y estado actual</x:v>
      </x:c>
      <x:c r="B2" s="54"/>
      <x:c r="C2" s="54"/>
      <x:c r="D2" s="54"/>
      <x:c r="E2" s="54"/>
      <x:c r="F2" s="54"/>
      <x:c r="G2" s="54"/>
    </x:row>
    <x:row r="3" ht="15" hidden="0" customHeight="1">
      <x:c r="A3" s="87" t="str">
        <x:v>Fuentes documentadas y observaciones medidas antes de implementar el nuevo sistema.</x:v>
      </x:c>
      <x:c r="B3" s="87"/>
      <x:c r="C3" s="87"/>
      <x:c r="D3" s="87"/>
      <x:c r="E3" s="87"/>
      <x:c r="F3" s="87"/>
      <x:c r="G3" s="87"/>
    </x:row>
    <x:row r="4" ht="15" hidden="0" customHeight="1">
      <x:c r="A4" s="60"/>
      <x:c r="B4" s="60"/>
      <x:c r="C4" s="60"/>
      <x:c r="D4" s="60"/>
      <x:c r="E4" s="60"/>
      <x:c r="F4" s="60"/>
      <x:c r="G4" s="60"/>
    </x:row>
    <x:row r="5" ht="15" hidden="0" customHeight="1">
      <x:c r="A5" s="60"/>
      <x:c r="B5" s="60"/>
      <x:c r="C5" s="60"/>
      <x:c r="D5" s="60"/>
      <x:c r="E5" s="60"/>
      <x:c r="F5" s="60"/>
      <x:c r="G5" s="60"/>
    </x:row>
    <x:row r="6" ht="15" hidden="0" customHeight="1">
      <x:c r="A6" s="88" t="str">
        <x:v>Tema</x:v>
      </x:c>
      <x:c r="B6" s="89" t="str">
        <x:v>Observación</x:v>
      </x:c>
      <x:c r="C6" s="89" t="str">
        <x:v>Valor medido</x:v>
      </x:c>
      <x:c r="D6" s="89" t="str">
        <x:v>Unidad</x:v>
      </x:c>
      <x:c r="E6" s="89" t="str">
        <x:v>Fecha</x:v>
      </x:c>
      <x:c r="F6" s="89" t="str">
        <x:v>Fuente</x:v>
      </x:c>
      <x:c r="G6" s="90" t="str">
        <x:v>Implicación</x:v>
      </x:c>
    </x:row>
    <x:row r="7" ht="26.399999618530273" hidden="0" customHeight="1">
      <x:c r="A7" s="61" t="str">
        <x:v>Supabase Free</x:v>
      </x:c>
      <x:c r="B7" s="61" t="str">
        <x:v>Base de datos incluida</x:v>
      </x:c>
      <x:c r="C7" s="91" t="n">
        <x:v>500</x:v>
      </x:c>
      <x:c r="D7" s="61" t="str">
        <x:v>MB</x:v>
      </x:c>
      <x:c r="E7" s="61" t="str">
        <x:v>2026-09-12</x:v>
      </x:c>
      <x:c r="F7" s="61" t="str">
        <x:v>https://supabase.com/pricing</x:v>
      </x:c>
      <x:c r="G7" s="61" t="str">
        <x:v>La cuota del proveedor aplica al proyecto completo, no a cada usuario.</x:v>
      </x:c>
    </x:row>
    <x:row r="8" ht="15" hidden="0" customHeight="1">
      <x:c r="A8" s="61" t="str">
        <x:v>Supabase Free</x:v>
      </x:c>
      <x:c r="B8" s="61" t="str">
        <x:v>Almacenamiento incluido</x:v>
      </x:c>
      <x:c r="C8" s="91" t="n">
        <x:v>1</x:v>
      </x:c>
      <x:c r="D8" s="61" t="str">
        <x:v>GB</x:v>
      </x:c>
      <x:c r="E8" s="61" t="str">
        <x:v>2026-09-12</x:v>
      </x:c>
      <x:c r="F8" s="61" t="str">
        <x:v>https://supabase.com/pricing</x:v>
      </x:c>
      <x:c r="G8" s="61" t="str">
        <x:v>Los límites de Pulzos deben proteger el presupuesto compartido.</x:v>
      </x:c>
    </x:row>
    <x:row r="9" ht="26.399999618530273" hidden="0" customHeight="1">
      <x:c r="A9" s="61" t="str">
        <x:v>Supabase</x:v>
      </x:c>
      <x:c r="B9" s="61" t="str">
        <x:v>Archivo máximo documentado en Free</x:v>
      </x:c>
      <x:c r="C9" s="91" t="n">
        <x:v>50</x:v>
      </x:c>
      <x:c r="D9" s="61" t="str">
        <x:v>MB</x:v>
      </x:c>
      <x:c r="E9" s="61" t="str">
        <x:v>2026-09-12</x:v>
      </x:c>
      <x:c r="F9" s="61" t="str">
        <x:v>https://supabase.com/pricing</x:v>
      </x:c>
      <x:c r="G9" s="61" t="str">
        <x:v>Pulzos puede imponer máximos menores según el tipo de trabajo.</x:v>
      </x:c>
    </x:row>
    <x:row r="10" ht="15" hidden="0" customHeight="1">
      <x:c r="A10" s="61" t="str">
        <x:v>Base actual</x:v>
      </x:c>
      <x:c r="B10" s="61" t="str">
        <x:v>Tabla embeddings_index</x:v>
      </x:c>
      <x:c r="C10" s="91" t="n">
        <x:v>584</x:v>
      </x:c>
      <x:c r="D10" s="61" t="str">
        <x:v>MB aprox.</x:v>
      </x:c>
      <x:c r="E10" s="61" t="str">
        <x:v>2026-09-12</x:v>
      </x:c>
      <x:c r="F10" s="61" t="str">
        <x:v>Inspección de Supabase</x:v>
      </x:c>
      <x:c r="G10" s="61" t="str">
        <x:v>La Memoria ya representa una parte importante de la base.</x:v>
      </x:c>
    </x:row>
    <x:row r="11" ht="15" hidden="0" customHeight="1">
      <x:c r="A11" s="61" t="str">
        <x:v>Archivos actuales</x:v>
      </x:c>
      <x:c r="B11" s="61" t="str">
        <x:v>Archivos aproximados en buckets revisados</x:v>
      </x:c>
      <x:c r="C11" s="91" t="n">
        <x:v>818</x:v>
      </x:c>
      <x:c r="D11" s="61" t="str">
        <x:v>MB aprox.</x:v>
      </x:c>
      <x:c r="E11" s="61" t="str">
        <x:v>2026-09-12</x:v>
      </x:c>
      <x:c r="F11" s="61" t="str">
        <x:v>Inspección de Supabase</x:v>
      </x:c>
      <x:c r="G11" s="61" t="str">
        <x:v>Conviene medir bytes reales por propietario.</x:v>
      </x:c>
    </x:row>
    <x:row r="12" ht="26.399999618530273" hidden="0" customHeight="1">
      <x:c r="A12" s="61" t="str">
        <x:v>Uso heredado</x:v>
      </x:c>
      <x:c r="B12" s="61" t="str">
        <x:v>Eventos en usage_logs</x:v>
      </x:c>
      <x:c r="C12" s="91" t="n">
        <x:v>746</x:v>
      </x:c>
      <x:c r="D12" s="61" t="str">
        <x:v>eventos</x:v>
      </x:c>
      <x:c r="E12" s="61" t="str">
        <x:v>2026-09-12</x:v>
      </x:c>
      <x:c r="F12" s="61" t="str">
        <x:v>Inspección de Supabase</x:v>
      </x:c>
      <x:c r="G12" s="61" t="str">
        <x:v>El último evento registrado fue 2026-02-24; la cobertura actual es incompleta.</x:v>
      </x:c>
    </x:row>
    <x:row r="13" ht="26.399999618530273" hidden="0" customHeight="1">
      <x:c r="A13" s="61" t="str">
        <x:v>Seguridad</x:v>
      </x:c>
      <x:c r="B13" s="61" t="str">
        <x:v>Tablas públicas sin RLS reportadas</x:v>
      </x:c>
      <x:c r="C13" s="91" t="n">
        <x:v>2</x:v>
      </x:c>
      <x:c r="D13" s="61" t="str">
        <x:v>tablas</x:v>
      </x:c>
      <x:c r="E13" s="61" t="str">
        <x:v>2026-09-12</x:v>
      </x:c>
      <x:c r="F13" s="61" t="str">
        <x:v>https://supabase.com/docs/guides/database/database-linter?lint=0013_rls_disabled_in_public</x:v>
      </x:c>
      <x:c r="G13" s="61" t="str">
        <x:v>Resolver antes de ampliar el acceso gratuito.</x:v>
      </x:c>
    </x:row>
    <x:row r="14" ht="26.399999618530273" hidden="0" customHeight="1">
      <x:c r="A14" s="61" t="str">
        <x:v>Seguridad</x:v>
      </x:c>
      <x:c r="B14" s="61" t="str">
        <x:v>Funciones SECURITY DEFINER anónimas</x:v>
      </x:c>
      <x:c r="C14" s="91" t="n">
        <x:v>19</x:v>
      </x:c>
      <x:c r="D14" s="61" t="str">
        <x:v>funciones</x:v>
      </x:c>
      <x:c r="E14" s="61" t="str">
        <x:v>2026-09-12</x:v>
      </x:c>
      <x:c r="F14" s="61" t="str">
        <x:v>https://supabase.com/docs/guides/database/database-linter?lint=0028_anon_security_definer_function_executable</x:v>
      </x:c>
      <x:c r="G14" s="61" t="str">
        <x:v>Revisar y revocar ejecución anónima salvo excepciones documentadas.</x:v>
      </x:c>
    </x:row>
    <x:row r="15" ht="15" hidden="0" customHeight="1">
      <x:c r="A15" s="61" t="str">
        <x:v>Contrato actual</x:v>
      </x:c>
      <x:c r="B15" s="61" t="str">
        <x:v>Créditos como fuente de verdad</x:v>
      </x:c>
      <x:c r="C15" s="91" t="n">
        <x:v>1</x:v>
      </x:c>
      <x:c r="D15" s="61" t="str">
        <x:v>sistema heredado</x:v>
      </x:c>
      <x:c r="E15" s="61" t="str">
        <x:v>2026-09-12</x:v>
      </x:c>
      <x:c r="F15" s="61" t="str">
        <x:v>Inspección de ExtractorW</x:v>
      </x:c>
      <x:c r="G15" s="61" t="str">
        <x:v>El significado y débito varían entre rutas; se propone sustituirlos.</x:v>
      </x:c>
    </x:row>
    <x:row r="16" ht="26.399999618530273" hidden="0" customHeight="1">
      <x:c r="A16" s="61" t="str">
        <x:v>MCP actual</x:v>
      </x:c>
      <x:c r="B16" s="61" t="str">
        <x:v>Cuota central</x:v>
      </x:c>
      <x:c r="C16" s="91" t="n">
        <x:v>0</x:v>
      </x:c>
      <x:c r="D16" s="61" t="str">
        <x:v>controles</x:v>
      </x:c>
      <x:c r="E16" s="61" t="str">
        <x:v>2026-09-12</x:v>
      </x:c>
      <x:c r="F16" s="61" t="str">
        <x:v>Inspección de ExtractorW</x:v>
      </x:c>
      <x:c r="G16" s="61" t="str">
        <x:v>Las herramientas autenticadas requieren medición y límites ponderados.</x:v>
      </x:c>
    </x:row>
    <x:row r="17" ht="15" hidden="0" customHeight="1">
      <x:c r="A17" s="67" t="str">
        <x:v>Memoria actual</x:v>
      </x:c>
      <x:c r="B17" s="67" t="str">
        <x:v>Codex Global indexado</x:v>
      </x:c>
      <x:c r="C17" s="92" t="n">
        <x:v>0</x:v>
      </x:c>
      <x:c r="D17" s="67" t="str">
        <x:v>elementos</x:v>
      </x:c>
      <x:c r="E17" s="67" t="str">
        <x:v>2026-09-12</x:v>
      </x:c>
      <x:c r="F17" s="67" t="str">
        <x:v>Contrato acordado</x:v>
      </x:c>
      <x:c r="G17" s="67" t="str">
        <x:v>Solo el contenido asociado a Espacios consume Memoria.</x:v>
      </x:c>
    </x:row>
  </x:sheetData>
  <x:pageMargins left="0.7" right="0.7" top="0.75" bottom="0.75" header="0.3" footer="0.3"/>
</x:worksheet>
</file>